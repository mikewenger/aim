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H:\My Drive\PTB\2026\"/>
    </mc:Choice>
  </mc:AlternateContent>
  <xr:revisionPtr revIDLastSave="0" documentId="13_ncr:80000009_{89C8657E-5C6F-453D-8D38-D2E0EDE8E453}" xr6:coauthVersionLast="47" xr6:coauthVersionMax="47" xr10:uidLastSave="{00000000-0000-0000-0000-000000000000}"/>
  <bookViews>
    <workbookView xWindow="-110" yWindow="-110" windowWidth="19420" windowHeight="12220" xr2:uid="{9A1FCD8A-9761-482A-95C5-4A5D52E79621}"/>
  </bookViews>
  <sheets>
    <sheet name="AIM" sheetId="16" r:id="rId1"/>
  </sheets>
  <externalReferences>
    <externalReference r:id="rId2"/>
  </externalReferences>
  <definedNames>
    <definedName name="_Table1_Out" hidden="1">[1]mape!#REF!</definedName>
    <definedName name="a">AIM!$P$3</definedName>
    <definedName name="anscount" hidden="1">1</definedName>
    <definedName name="b">AIM!$P$4</definedName>
    <definedName name="Close">AIM!$I$8:OFFSET(AIM!$I$8,COUNT(AIM!$I$8:$I$258)-1,0)</definedName>
    <definedName name="Date">AIM!$C$8:OFFSET(AIM!$C$8,COUNT(AIM!$C$8:$C$258)-1,0)</definedName>
    <definedName name="Int">AIM!$T$1</definedName>
    <definedName name="Max">AIM!$L$1</definedName>
    <definedName name="MDT">AIM!$R$2</definedName>
    <definedName name="Min">AIM!$L$2</definedName>
    <definedName name="Mth">AIM!$M:$M</definedName>
    <definedName name="PC">AIM!$R:$R</definedName>
    <definedName name="Price">AIM!$N:$N</definedName>
    <definedName name="Qty">AIM!#REF!</definedName>
    <definedName name="SV">AIM!$R:$R</definedName>
    <definedName name="Units">AIM!$O:$O</definedName>
    <definedName name="V">AIM!#REF!</definedName>
    <definedName name="Volume">AIM!$L$8:OFFSET(AIM!$L$8,COUNT(AIM!$L$8:$L$258)-1,0)</definedName>
    <definedName name="X">AIM!$S:$S</definedName>
    <definedName name="Y">AIM!$T:$T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34" i="16" l="1"/>
  <c r="K234" i="16" s="1"/>
  <c r="I233" i="16"/>
  <c r="I232" i="16"/>
  <c r="I231" i="16"/>
  <c r="I230" i="16"/>
  <c r="K231" i="16" s="1"/>
  <c r="I229" i="16"/>
  <c r="N229" i="16" s="1"/>
  <c r="I228" i="16"/>
  <c r="I227" i="16"/>
  <c r="N227" i="16" s="1"/>
  <c r="I226" i="16"/>
  <c r="I225" i="16"/>
  <c r="I224" i="16"/>
  <c r="I223" i="16"/>
  <c r="N223" i="16" s="1"/>
  <c r="I222" i="16"/>
  <c r="N222" i="16" s="1"/>
  <c r="I221" i="16"/>
  <c r="N221" i="16" s="1"/>
  <c r="I220" i="16"/>
  <c r="I219" i="16"/>
  <c r="N219" i="16" s="1"/>
  <c r="I218" i="16"/>
  <c r="K218" i="16" s="1"/>
  <c r="I217" i="16"/>
  <c r="I216" i="16"/>
  <c r="I215" i="16"/>
  <c r="N215" i="16" s="1"/>
  <c r="I214" i="16"/>
  <c r="K214" i="16" s="1"/>
  <c r="I213" i="16"/>
  <c r="N213" i="16" s="1"/>
  <c r="I212" i="16"/>
  <c r="I211" i="16"/>
  <c r="K211" i="16" s="1"/>
  <c r="I210" i="16"/>
  <c r="I209" i="16"/>
  <c r="I208" i="16"/>
  <c r="N208" i="16" s="1"/>
  <c r="I207" i="16"/>
  <c r="N207" i="16" s="1"/>
  <c r="I206" i="16"/>
  <c r="N206" i="16" s="1"/>
  <c r="I205" i="16"/>
  <c r="N205" i="16" s="1"/>
  <c r="I204" i="16"/>
  <c r="I203" i="16"/>
  <c r="N203" i="16" s="1"/>
  <c r="I202" i="16"/>
  <c r="K202" i="16" s="1"/>
  <c r="I201" i="16"/>
  <c r="I200" i="16"/>
  <c r="I199" i="16"/>
  <c r="N199" i="16" s="1"/>
  <c r="I198" i="16"/>
  <c r="N198" i="16" s="1"/>
  <c r="I197" i="16"/>
  <c r="N197" i="16" s="1"/>
  <c r="I196" i="16"/>
  <c r="I195" i="16"/>
  <c r="N195" i="16" s="1"/>
  <c r="I194" i="16"/>
  <c r="I193" i="16"/>
  <c r="I192" i="16"/>
  <c r="I191" i="16"/>
  <c r="N191" i="16" s="1"/>
  <c r="I190" i="16"/>
  <c r="N190" i="16" s="1"/>
  <c r="I189" i="16"/>
  <c r="N189" i="16" s="1"/>
  <c r="I188" i="16"/>
  <c r="I187" i="16"/>
  <c r="N187" i="16" s="1"/>
  <c r="I186" i="16"/>
  <c r="K186" i="16" s="1"/>
  <c r="I185" i="16"/>
  <c r="I184" i="16"/>
  <c r="I183" i="16"/>
  <c r="K183" i="16" s="1"/>
  <c r="I182" i="16"/>
  <c r="N182" i="16" s="1"/>
  <c r="I181" i="16"/>
  <c r="N181" i="16" s="1"/>
  <c r="I180" i="16"/>
  <c r="I179" i="16"/>
  <c r="N179" i="16" s="1"/>
  <c r="I178" i="16"/>
  <c r="I177" i="16"/>
  <c r="I176" i="16"/>
  <c r="I175" i="16"/>
  <c r="I174" i="16"/>
  <c r="N174" i="16" s="1"/>
  <c r="I173" i="16"/>
  <c r="N173" i="16" s="1"/>
  <c r="I172" i="16"/>
  <c r="I171" i="16"/>
  <c r="N171" i="16" s="1"/>
  <c r="I170" i="16"/>
  <c r="K170" i="16" s="1"/>
  <c r="I169" i="16"/>
  <c r="I168" i="16"/>
  <c r="I167" i="16"/>
  <c r="K168" i="16" s="1"/>
  <c r="I166" i="16"/>
  <c r="K166" i="16" s="1"/>
  <c r="I165" i="16"/>
  <c r="N165" i="16" s="1"/>
  <c r="I164" i="16"/>
  <c r="I163" i="16"/>
  <c r="N163" i="16" s="1"/>
  <c r="I162" i="16"/>
  <c r="I161" i="16"/>
  <c r="I160" i="16"/>
  <c r="I159" i="16"/>
  <c r="I158" i="16"/>
  <c r="I157" i="16"/>
  <c r="I156" i="16"/>
  <c r="I155" i="16"/>
  <c r="I154" i="16"/>
  <c r="K154" i="16" s="1"/>
  <c r="I153" i="16"/>
  <c r="I152" i="16"/>
  <c r="I151" i="16"/>
  <c r="N151" i="16" s="1"/>
  <c r="I150" i="16"/>
  <c r="N150" i="16" s="1"/>
  <c r="I149" i="16"/>
  <c r="N149" i="16" s="1"/>
  <c r="I148" i="16"/>
  <c r="I147" i="16"/>
  <c r="N147" i="16" s="1"/>
  <c r="I146" i="16"/>
  <c r="I145" i="16"/>
  <c r="I144" i="16"/>
  <c r="N144" i="16" s="1"/>
  <c r="I143" i="16"/>
  <c r="N143" i="16" s="1"/>
  <c r="I142" i="16"/>
  <c r="N142" i="16" s="1"/>
  <c r="I141" i="16"/>
  <c r="I140" i="16"/>
  <c r="I139" i="16"/>
  <c r="N139" i="16" s="1"/>
  <c r="I138" i="16"/>
  <c r="K138" i="16" s="1"/>
  <c r="I137" i="16"/>
  <c r="I136" i="16"/>
  <c r="N136" i="16" s="1"/>
  <c r="I135" i="16"/>
  <c r="K135" i="16" s="1"/>
  <c r="I134" i="16"/>
  <c r="K134" i="16" s="1"/>
  <c r="I133" i="16"/>
  <c r="N133" i="16" s="1"/>
  <c r="I132" i="16"/>
  <c r="I131" i="16"/>
  <c r="N131" i="16" s="1"/>
  <c r="I130" i="16"/>
  <c r="I129" i="16"/>
  <c r="I128" i="16"/>
  <c r="I127" i="16"/>
  <c r="N127" i="16" s="1"/>
  <c r="I126" i="16"/>
  <c r="N126" i="16" s="1"/>
  <c r="I125" i="16"/>
  <c r="N125" i="16" s="1"/>
  <c r="I124" i="16"/>
  <c r="I123" i="16"/>
  <c r="N123" i="16" s="1"/>
  <c r="I122" i="16"/>
  <c r="K122" i="16" s="1"/>
  <c r="I121" i="16"/>
  <c r="I120" i="16"/>
  <c r="I119" i="16"/>
  <c r="N119" i="16" s="1"/>
  <c r="I118" i="16"/>
  <c r="N118" i="16" s="1"/>
  <c r="I117" i="16"/>
  <c r="N117" i="16" s="1"/>
  <c r="I116" i="16"/>
  <c r="N116" i="16" s="1"/>
  <c r="I115" i="16"/>
  <c r="N115" i="16" s="1"/>
  <c r="I114" i="16"/>
  <c r="I113" i="16"/>
  <c r="I112" i="16"/>
  <c r="N112" i="16" s="1"/>
  <c r="I111" i="16"/>
  <c r="N111" i="16" s="1"/>
  <c r="I110" i="16"/>
  <c r="N110" i="16" s="1"/>
  <c r="I109" i="16"/>
  <c r="N109" i="16" s="1"/>
  <c r="I108" i="16"/>
  <c r="I107" i="16"/>
  <c r="N107" i="16" s="1"/>
  <c r="I106" i="16"/>
  <c r="K106" i="16" s="1"/>
  <c r="I105" i="16"/>
  <c r="N105" i="16" s="1"/>
  <c r="I104" i="16"/>
  <c r="I103" i="16"/>
  <c r="N103" i="16" s="1"/>
  <c r="I102" i="16"/>
  <c r="N102" i="16" s="1"/>
  <c r="I101" i="16"/>
  <c r="N101" i="16" s="1"/>
  <c r="I100" i="16"/>
  <c r="I99" i="16"/>
  <c r="N99" i="16" s="1"/>
  <c r="I98" i="16"/>
  <c r="I97" i="16"/>
  <c r="I96" i="16"/>
  <c r="I95" i="16"/>
  <c r="N95" i="16" s="1"/>
  <c r="I94" i="16"/>
  <c r="N94" i="16" s="1"/>
  <c r="I93" i="16"/>
  <c r="N93" i="16" s="1"/>
  <c r="I92" i="16"/>
  <c r="I91" i="16"/>
  <c r="N91" i="16" s="1"/>
  <c r="I90" i="16"/>
  <c r="K90" i="16" s="1"/>
  <c r="I89" i="16"/>
  <c r="N89" i="16" s="1"/>
  <c r="I88" i="16"/>
  <c r="N88" i="16" s="1"/>
  <c r="I87" i="16"/>
  <c r="I86" i="16"/>
  <c r="N86" i="16" s="1"/>
  <c r="I85" i="16"/>
  <c r="N85" i="16" s="1"/>
  <c r="I84" i="16"/>
  <c r="I83" i="16"/>
  <c r="N83" i="16" s="1"/>
  <c r="I82" i="16"/>
  <c r="I81" i="16"/>
  <c r="I80" i="16"/>
  <c r="N80" i="16" s="1"/>
  <c r="I79" i="16"/>
  <c r="N79" i="16" s="1"/>
  <c r="I78" i="16"/>
  <c r="N78" i="16" s="1"/>
  <c r="I77" i="16"/>
  <c r="I76" i="16"/>
  <c r="I75" i="16"/>
  <c r="N75" i="16" s="1"/>
  <c r="I74" i="16"/>
  <c r="K74" i="16" s="1"/>
  <c r="I73" i="16"/>
  <c r="N73" i="16" s="1"/>
  <c r="I72" i="16"/>
  <c r="N72" i="16" s="1"/>
  <c r="I71" i="16"/>
  <c r="N71" i="16" s="1"/>
  <c r="I70" i="16"/>
  <c r="N70" i="16" s="1"/>
  <c r="I69" i="16"/>
  <c r="N69" i="16" s="1"/>
  <c r="I68" i="16"/>
  <c r="I67" i="16"/>
  <c r="N67" i="16" s="1"/>
  <c r="I66" i="16"/>
  <c r="I65" i="16"/>
  <c r="I64" i="16"/>
  <c r="N64" i="16" s="1"/>
  <c r="I63" i="16"/>
  <c r="N63" i="16" s="1"/>
  <c r="I62" i="16"/>
  <c r="N62" i="16" s="1"/>
  <c r="I61" i="16"/>
  <c r="N61" i="16" s="1"/>
  <c r="I60" i="16"/>
  <c r="I59" i="16"/>
  <c r="N59" i="16" s="1"/>
  <c r="I58" i="16"/>
  <c r="K58" i="16" s="1"/>
  <c r="I57" i="16"/>
  <c r="N57" i="16" s="1"/>
  <c r="I56" i="16"/>
  <c r="N56" i="16" s="1"/>
  <c r="I55" i="16"/>
  <c r="N55" i="16" s="1"/>
  <c r="I54" i="16"/>
  <c r="K54" i="16" s="1"/>
  <c r="I53" i="16"/>
  <c r="N53" i="16" s="1"/>
  <c r="I52" i="16"/>
  <c r="I51" i="16"/>
  <c r="N51" i="16" s="1"/>
  <c r="I50" i="16"/>
  <c r="I49" i="16"/>
  <c r="I48" i="16"/>
  <c r="I47" i="16"/>
  <c r="I46" i="16"/>
  <c r="N46" i="16" s="1"/>
  <c r="I45" i="16"/>
  <c r="N45" i="16" s="1"/>
  <c r="I44" i="16"/>
  <c r="I43" i="16"/>
  <c r="N43" i="16" s="1"/>
  <c r="I42" i="16"/>
  <c r="K42" i="16" s="1"/>
  <c r="I41" i="16"/>
  <c r="N41" i="16" s="1"/>
  <c r="I40" i="16"/>
  <c r="N40" i="16" s="1"/>
  <c r="I39" i="16"/>
  <c r="N39" i="16" s="1"/>
  <c r="I38" i="16"/>
  <c r="K38" i="16" s="1"/>
  <c r="I37" i="16"/>
  <c r="N37" i="16" s="1"/>
  <c r="I36" i="16"/>
  <c r="I35" i="16"/>
  <c r="N35" i="16" s="1"/>
  <c r="I34" i="16"/>
  <c r="I33" i="16"/>
  <c r="I32" i="16"/>
  <c r="I31" i="16"/>
  <c r="N31" i="16" s="1"/>
  <c r="I30" i="16"/>
  <c r="N30" i="16" s="1"/>
  <c r="I29" i="16"/>
  <c r="N29" i="16" s="1"/>
  <c r="I28" i="16"/>
  <c r="I27" i="16"/>
  <c r="I26" i="16"/>
  <c r="K26" i="16" s="1"/>
  <c r="I25" i="16"/>
  <c r="I24" i="16"/>
  <c r="I23" i="16"/>
  <c r="N23" i="16" s="1"/>
  <c r="I22" i="16"/>
  <c r="N22" i="16" s="1"/>
  <c r="I21" i="16"/>
  <c r="K22" i="16" s="1"/>
  <c r="I20" i="16"/>
  <c r="I19" i="16"/>
  <c r="N19" i="16" s="1"/>
  <c r="I18" i="16"/>
  <c r="I17" i="16"/>
  <c r="I16" i="16"/>
  <c r="N16" i="16" s="1"/>
  <c r="I15" i="16"/>
  <c r="I14" i="16"/>
  <c r="N14" i="16" s="1"/>
  <c r="I13" i="16"/>
  <c r="N13" i="16" s="1"/>
  <c r="I12" i="16"/>
  <c r="I11" i="16"/>
  <c r="N11" i="16" s="1"/>
  <c r="I10" i="16"/>
  <c r="K10" i="16" s="1"/>
  <c r="I9" i="16"/>
  <c r="I8" i="16"/>
  <c r="N8" i="16" s="1"/>
  <c r="N233" i="16"/>
  <c r="N232" i="16"/>
  <c r="N231" i="16"/>
  <c r="N228" i="16"/>
  <c r="N226" i="16"/>
  <c r="N225" i="16"/>
  <c r="N224" i="16"/>
  <c r="N220" i="16"/>
  <c r="N217" i="16"/>
  <c r="N216" i="16"/>
  <c r="N212" i="16"/>
  <c r="N210" i="16"/>
  <c r="N209" i="16"/>
  <c r="N204" i="16"/>
  <c r="N201" i="16"/>
  <c r="N200" i="16"/>
  <c r="N196" i="16"/>
  <c r="N194" i="16"/>
  <c r="N193" i="16"/>
  <c r="N192" i="16"/>
  <c r="N188" i="16"/>
  <c r="N185" i="16"/>
  <c r="N184" i="16"/>
  <c r="N180" i="16"/>
  <c r="N178" i="16"/>
  <c r="N177" i="16"/>
  <c r="N176" i="16"/>
  <c r="N175" i="16"/>
  <c r="N172" i="16"/>
  <c r="N169" i="16"/>
  <c r="N168" i="16"/>
  <c r="N164" i="16"/>
  <c r="N162" i="16"/>
  <c r="N161" i="16"/>
  <c r="N160" i="16"/>
  <c r="N159" i="16"/>
  <c r="N158" i="16"/>
  <c r="N157" i="16"/>
  <c r="N156" i="16"/>
  <c r="N155" i="16"/>
  <c r="N153" i="16"/>
  <c r="N152" i="16"/>
  <c r="N148" i="16"/>
  <c r="N146" i="16"/>
  <c r="N145" i="16"/>
  <c r="N141" i="16"/>
  <c r="N140" i="16"/>
  <c r="N137" i="16"/>
  <c r="N132" i="16"/>
  <c r="N130" i="16"/>
  <c r="N129" i="16"/>
  <c r="N128" i="16"/>
  <c r="N124" i="16"/>
  <c r="N121" i="16"/>
  <c r="N120" i="16"/>
  <c r="N114" i="16"/>
  <c r="N113" i="16"/>
  <c r="N108" i="16"/>
  <c r="N104" i="16"/>
  <c r="N100" i="16"/>
  <c r="N98" i="16"/>
  <c r="N97" i="16"/>
  <c r="N96" i="16"/>
  <c r="N92" i="16"/>
  <c r="N87" i="16"/>
  <c r="N84" i="16"/>
  <c r="N82" i="16"/>
  <c r="N81" i="16"/>
  <c r="N77" i="16"/>
  <c r="N76" i="16"/>
  <c r="N68" i="16"/>
  <c r="N66" i="16"/>
  <c r="N65" i="16"/>
  <c r="N60" i="16"/>
  <c r="N54" i="16"/>
  <c r="N52" i="16"/>
  <c r="N50" i="16"/>
  <c r="N49" i="16"/>
  <c r="N48" i="16"/>
  <c r="N47" i="16"/>
  <c r="N44" i="16"/>
  <c r="N36" i="16"/>
  <c r="N34" i="16"/>
  <c r="N33" i="16"/>
  <c r="I1" i="16"/>
  <c r="T1" i="16"/>
  <c r="I2" i="16"/>
  <c r="H2" i="16" s="1"/>
  <c r="B3" i="16"/>
  <c r="B2" i="16" s="1"/>
  <c r="I3" i="16"/>
  <c r="H3" i="16" s="1"/>
  <c r="V3" i="16"/>
  <c r="W3" i="16"/>
  <c r="K4" i="16"/>
  <c r="L4" i="16"/>
  <c r="L8" i="16"/>
  <c r="R8" i="16"/>
  <c r="O8" i="16" s="1"/>
  <c r="A9" i="16"/>
  <c r="K9" i="16"/>
  <c r="L9" i="16"/>
  <c r="M9" i="16"/>
  <c r="N9" i="16"/>
  <c r="A10" i="16"/>
  <c r="A11" i="16"/>
  <c r="A12" i="16"/>
  <c r="A13" i="16"/>
  <c r="A14" i="16"/>
  <c r="A15" i="16"/>
  <c r="A16" i="16"/>
  <c r="A17" i="16"/>
  <c r="A18" i="16"/>
  <c r="A19" i="16"/>
  <c r="A20" i="16"/>
  <c r="A21" i="16"/>
  <c r="A22" i="16"/>
  <c r="A23" i="16"/>
  <c r="A24" i="16"/>
  <c r="A25" i="16"/>
  <c r="A26" i="16"/>
  <c r="A27" i="16"/>
  <c r="A28" i="16"/>
  <c r="A29" i="16"/>
  <c r="A30" i="16"/>
  <c r="A31" i="16"/>
  <c r="A32" i="16"/>
  <c r="A33" i="16"/>
  <c r="A34" i="16"/>
  <c r="A35" i="16"/>
  <c r="A36" i="16"/>
  <c r="A37" i="16"/>
  <c r="A38" i="16"/>
  <c r="A39" i="16"/>
  <c r="A40" i="16"/>
  <c r="A41" i="16"/>
  <c r="A42" i="16"/>
  <c r="A43" i="16"/>
  <c r="A44" i="16"/>
  <c r="A45" i="16"/>
  <c r="A46" i="16"/>
  <c r="A47" i="16"/>
  <c r="A48" i="16"/>
  <c r="A49" i="16"/>
  <c r="A50" i="16"/>
  <c r="A51" i="16"/>
  <c r="A52" i="16"/>
  <c r="A53" i="16"/>
  <c r="A54" i="16"/>
  <c r="A55" i="16"/>
  <c r="A56" i="16"/>
  <c r="A57" i="16"/>
  <c r="A58" i="16"/>
  <c r="A59" i="16"/>
  <c r="A60" i="16"/>
  <c r="A61" i="16"/>
  <c r="A62" i="16"/>
  <c r="A63" i="16"/>
  <c r="A64" i="16"/>
  <c r="A65" i="16"/>
  <c r="A66" i="16"/>
  <c r="A67" i="16"/>
  <c r="A68" i="16"/>
  <c r="A69" i="16"/>
  <c r="A70" i="16"/>
  <c r="A71" i="16"/>
  <c r="A72" i="16"/>
  <c r="A73" i="16"/>
  <c r="A74" i="16"/>
  <c r="A75" i="16"/>
  <c r="A76" i="16"/>
  <c r="A77" i="16"/>
  <c r="A78" i="16"/>
  <c r="A79" i="16"/>
  <c r="A80" i="16"/>
  <c r="A81" i="16"/>
  <c r="A82" i="16"/>
  <c r="A83" i="16"/>
  <c r="A84" i="16"/>
  <c r="A85" i="16"/>
  <c r="A86" i="16"/>
  <c r="A87" i="16"/>
  <c r="A88" i="16"/>
  <c r="A89" i="16"/>
  <c r="A90" i="16"/>
  <c r="A91" i="16"/>
  <c r="A92" i="16"/>
  <c r="A93" i="16"/>
  <c r="A94" i="16"/>
  <c r="A95" i="16"/>
  <c r="A96" i="16"/>
  <c r="A97" i="16"/>
  <c r="A98" i="16"/>
  <c r="A99" i="16"/>
  <c r="A100" i="16"/>
  <c r="A101" i="16"/>
  <c r="A102" i="16"/>
  <c r="A103" i="16"/>
  <c r="A104" i="16"/>
  <c r="A105" i="16"/>
  <c r="A106" i="16"/>
  <c r="A107" i="16"/>
  <c r="A108" i="16"/>
  <c r="A109" i="16"/>
  <c r="A110" i="16"/>
  <c r="A111" i="16"/>
  <c r="A112" i="16"/>
  <c r="A113" i="16"/>
  <c r="A114" i="16"/>
  <c r="A115" i="16"/>
  <c r="A116" i="16"/>
  <c r="A117" i="16"/>
  <c r="A118" i="16"/>
  <c r="A119" i="16"/>
  <c r="A120" i="16"/>
  <c r="A121" i="16"/>
  <c r="A122" i="16"/>
  <c r="A123" i="16"/>
  <c r="A124" i="16"/>
  <c r="A125" i="16"/>
  <c r="A126" i="16"/>
  <c r="A127" i="16"/>
  <c r="A128" i="16"/>
  <c r="A129" i="16"/>
  <c r="A130" i="16"/>
  <c r="A131" i="16"/>
  <c r="A132" i="16"/>
  <c r="A133" i="16"/>
  <c r="A134" i="16"/>
  <c r="A135" i="16"/>
  <c r="A136" i="16"/>
  <c r="A137" i="16"/>
  <c r="A138" i="16"/>
  <c r="A139" i="16"/>
  <c r="A140" i="16"/>
  <c r="A141" i="16"/>
  <c r="A142" i="16"/>
  <c r="A143" i="16"/>
  <c r="A144" i="16"/>
  <c r="A145" i="16"/>
  <c r="A146" i="16"/>
  <c r="A147" i="16"/>
  <c r="A148" i="16"/>
  <c r="A149" i="16"/>
  <c r="A150" i="16"/>
  <c r="A151" i="16"/>
  <c r="A152" i="16"/>
  <c r="A153" i="16"/>
  <c r="A154" i="16"/>
  <c r="A155" i="16"/>
  <c r="A156" i="16"/>
  <c r="A157" i="16"/>
  <c r="A158" i="16"/>
  <c r="A159" i="16"/>
  <c r="A160" i="16"/>
  <c r="A161" i="16"/>
  <c r="A162" i="16"/>
  <c r="A163" i="16"/>
  <c r="A164" i="16"/>
  <c r="A165" i="16"/>
  <c r="A166" i="16"/>
  <c r="A167" i="16"/>
  <c r="A168" i="16"/>
  <c r="A169" i="16"/>
  <c r="A170" i="16"/>
  <c r="A171" i="16"/>
  <c r="A172" i="16"/>
  <c r="A173" i="16"/>
  <c r="A174" i="16"/>
  <c r="A175" i="16"/>
  <c r="A176" i="16"/>
  <c r="A177" i="16"/>
  <c r="A178" i="16"/>
  <c r="A179" i="16"/>
  <c r="A180" i="16"/>
  <c r="A181" i="16"/>
  <c r="A182" i="16"/>
  <c r="A183" i="16"/>
  <c r="A184" i="16"/>
  <c r="A185" i="16"/>
  <c r="A186" i="16"/>
  <c r="A187" i="16"/>
  <c r="A188" i="16"/>
  <c r="A189" i="16"/>
  <c r="A190" i="16"/>
  <c r="A191" i="16"/>
  <c r="A192" i="16"/>
  <c r="A193" i="16"/>
  <c r="A194" i="16"/>
  <c r="A195" i="16"/>
  <c r="A196" i="16"/>
  <c r="A197" i="16"/>
  <c r="A198" i="16"/>
  <c r="A199" i="16"/>
  <c r="A200" i="16"/>
  <c r="A201" i="16"/>
  <c r="A202" i="16"/>
  <c r="A203" i="16"/>
  <c r="A204" i="16"/>
  <c r="A205" i="16"/>
  <c r="A206" i="16"/>
  <c r="A207" i="16"/>
  <c r="A208" i="16"/>
  <c r="A209" i="16"/>
  <c r="A210" i="16"/>
  <c r="A211" i="16"/>
  <c r="A212" i="16"/>
  <c r="A213" i="16"/>
  <c r="A214" i="16"/>
  <c r="A215" i="16"/>
  <c r="A216" i="16"/>
  <c r="A217" i="16"/>
  <c r="A218" i="16"/>
  <c r="A219" i="16"/>
  <c r="A220" i="16"/>
  <c r="A221" i="16"/>
  <c r="A222" i="16"/>
  <c r="A223" i="16"/>
  <c r="A224" i="16"/>
  <c r="A225" i="16"/>
  <c r="A226" i="16"/>
  <c r="A227" i="16"/>
  <c r="A228" i="16"/>
  <c r="A229" i="16"/>
  <c r="A230" i="16"/>
  <c r="A231" i="16"/>
  <c r="A232" i="16"/>
  <c r="A233" i="16"/>
  <c r="A234" i="16"/>
  <c r="L10" i="16"/>
  <c r="M10" i="16"/>
  <c r="M11" i="16"/>
  <c r="M12" i="16"/>
  <c r="M13" i="16"/>
  <c r="M14" i="16"/>
  <c r="M15" i="16"/>
  <c r="M16" i="16"/>
  <c r="M17" i="16"/>
  <c r="M18" i="16"/>
  <c r="M19" i="16"/>
  <c r="M20" i="16"/>
  <c r="M21" i="16"/>
  <c r="M22" i="16"/>
  <c r="M23" i="16"/>
  <c r="M24" i="16"/>
  <c r="M25" i="16"/>
  <c r="M26" i="16"/>
  <c r="M27" i="16"/>
  <c r="M28" i="16"/>
  <c r="M29" i="16"/>
  <c r="M30" i="16"/>
  <c r="M31" i="16"/>
  <c r="M32" i="16"/>
  <c r="M33" i="16"/>
  <c r="M34" i="16"/>
  <c r="M35" i="16"/>
  <c r="M36" i="16"/>
  <c r="M37" i="16"/>
  <c r="M38" i="16"/>
  <c r="M39" i="16"/>
  <c r="M40" i="16"/>
  <c r="M41" i="16"/>
  <c r="L11" i="16"/>
  <c r="K12" i="16"/>
  <c r="L12" i="16"/>
  <c r="N12" i="16"/>
  <c r="K13" i="16"/>
  <c r="L13" i="16"/>
  <c r="K14" i="16"/>
  <c r="L14" i="16"/>
  <c r="K15" i="16"/>
  <c r="L15" i="16"/>
  <c r="N15" i="16"/>
  <c r="K16" i="16"/>
  <c r="L16" i="16"/>
  <c r="K17" i="16"/>
  <c r="L17" i="16"/>
  <c r="N17" i="16"/>
  <c r="K18" i="16"/>
  <c r="L18" i="16"/>
  <c r="N18" i="16"/>
  <c r="L19" i="16"/>
  <c r="L20" i="16"/>
  <c r="N20" i="16"/>
  <c r="L21" i="16"/>
  <c r="L22" i="16"/>
  <c r="L23" i="16"/>
  <c r="L24" i="16"/>
  <c r="N24" i="16"/>
  <c r="K25" i="16"/>
  <c r="L25" i="16"/>
  <c r="N25" i="16"/>
  <c r="L26" i="16"/>
  <c r="L27" i="16"/>
  <c r="N27" i="16"/>
  <c r="K28" i="16"/>
  <c r="L28" i="16"/>
  <c r="N28" i="16"/>
  <c r="K29" i="16"/>
  <c r="L29" i="16"/>
  <c r="K30" i="16"/>
  <c r="L30" i="16"/>
  <c r="K31" i="16"/>
  <c r="L31" i="16"/>
  <c r="K32" i="16"/>
  <c r="L32" i="16"/>
  <c r="N32" i="16"/>
  <c r="K33" i="16"/>
  <c r="L33" i="16"/>
  <c r="K34" i="16"/>
  <c r="L34" i="16"/>
  <c r="K35" i="16"/>
  <c r="L35" i="16"/>
  <c r="K36" i="16"/>
  <c r="L36" i="16"/>
  <c r="L37" i="16"/>
  <c r="L38" i="16"/>
  <c r="L39" i="16"/>
  <c r="L40" i="16"/>
  <c r="K41" i="16"/>
  <c r="L41" i="16"/>
  <c r="L42" i="16"/>
  <c r="L43" i="16"/>
  <c r="K44" i="16"/>
  <c r="L44" i="16"/>
  <c r="K45" i="16"/>
  <c r="L45" i="16"/>
  <c r="K46" i="16"/>
  <c r="L46" i="16"/>
  <c r="K47" i="16"/>
  <c r="L47" i="16"/>
  <c r="K48" i="16"/>
  <c r="L48" i="16"/>
  <c r="K49" i="16"/>
  <c r="L49" i="16"/>
  <c r="K50" i="16"/>
  <c r="L50" i="16"/>
  <c r="L51" i="16"/>
  <c r="K52" i="16"/>
  <c r="L52" i="16"/>
  <c r="K53" i="16"/>
  <c r="L53" i="16"/>
  <c r="L54" i="16"/>
  <c r="L55" i="16"/>
  <c r="L56" i="16"/>
  <c r="K57" i="16"/>
  <c r="L57" i="16"/>
  <c r="L58" i="16"/>
  <c r="L59" i="16"/>
  <c r="K60" i="16"/>
  <c r="L60" i="16"/>
  <c r="K61" i="16"/>
  <c r="L61" i="16"/>
  <c r="K62" i="16"/>
  <c r="L62" i="16"/>
  <c r="K63" i="16"/>
  <c r="L63" i="16"/>
  <c r="K64" i="16"/>
  <c r="L64" i="16"/>
  <c r="K65" i="16"/>
  <c r="L65" i="16"/>
  <c r="K66" i="16"/>
  <c r="L66" i="16"/>
  <c r="L67" i="16"/>
  <c r="L68" i="16"/>
  <c r="L69" i="16"/>
  <c r="K70" i="16"/>
  <c r="L70" i="16"/>
  <c r="L71" i="16"/>
  <c r="L72" i="16"/>
  <c r="K73" i="16"/>
  <c r="L73" i="16"/>
  <c r="L74" i="16"/>
  <c r="L75" i="16"/>
  <c r="K76" i="16"/>
  <c r="L76" i="16"/>
  <c r="K77" i="16"/>
  <c r="L77" i="16"/>
  <c r="K78" i="16"/>
  <c r="L78" i="16"/>
  <c r="K79" i="16"/>
  <c r="L79" i="16"/>
  <c r="K80" i="16"/>
  <c r="L80" i="16"/>
  <c r="K81" i="16"/>
  <c r="L81" i="16"/>
  <c r="K82" i="16"/>
  <c r="L82" i="16"/>
  <c r="L83" i="16"/>
  <c r="L84" i="16"/>
  <c r="L85" i="16"/>
  <c r="L86" i="16"/>
  <c r="K87" i="16"/>
  <c r="L87" i="16"/>
  <c r="K88" i="16"/>
  <c r="L88" i="16"/>
  <c r="K89" i="16"/>
  <c r="L89" i="16"/>
  <c r="L90" i="16"/>
  <c r="L91" i="16"/>
  <c r="K92" i="16"/>
  <c r="L92" i="16"/>
  <c r="K93" i="16"/>
  <c r="L93" i="16"/>
  <c r="K94" i="16"/>
  <c r="L94" i="16"/>
  <c r="K95" i="16"/>
  <c r="L95" i="16"/>
  <c r="K96" i="16"/>
  <c r="L96" i="16"/>
  <c r="K97" i="16"/>
  <c r="L97" i="16"/>
  <c r="K98" i="16"/>
  <c r="L98" i="16"/>
  <c r="L99" i="16"/>
  <c r="L100" i="16"/>
  <c r="L101" i="16"/>
  <c r="L102" i="16"/>
  <c r="L103" i="16"/>
  <c r="K104" i="16"/>
  <c r="L104" i="16"/>
  <c r="K105" i="16"/>
  <c r="L105" i="16"/>
  <c r="L106" i="16"/>
  <c r="L107" i="16"/>
  <c r="K108" i="16"/>
  <c r="L108" i="16"/>
  <c r="K109" i="16"/>
  <c r="L109" i="16"/>
  <c r="K110" i="16"/>
  <c r="L110" i="16"/>
  <c r="K111" i="16"/>
  <c r="L111" i="16"/>
  <c r="K112" i="16"/>
  <c r="L112" i="16"/>
  <c r="K113" i="16"/>
  <c r="L113" i="16"/>
  <c r="K114" i="16"/>
  <c r="L114" i="16"/>
  <c r="L115" i="16"/>
  <c r="L116" i="16"/>
  <c r="L117" i="16"/>
  <c r="L118" i="16"/>
  <c r="L119" i="16"/>
  <c r="K120" i="16"/>
  <c r="L120" i="16"/>
  <c r="K121" i="16"/>
  <c r="L121" i="16"/>
  <c r="L122" i="16"/>
  <c r="L123" i="16"/>
  <c r="K124" i="16"/>
  <c r="L124" i="16"/>
  <c r="K125" i="16"/>
  <c r="L125" i="16"/>
  <c r="K126" i="16"/>
  <c r="L126" i="16"/>
  <c r="K127" i="16"/>
  <c r="L127" i="16"/>
  <c r="K128" i="16"/>
  <c r="L128" i="16"/>
  <c r="K129" i="16"/>
  <c r="L129" i="16"/>
  <c r="K130" i="16"/>
  <c r="L130" i="16"/>
  <c r="K131" i="16"/>
  <c r="L131" i="16"/>
  <c r="L132" i="16"/>
  <c r="L133" i="16"/>
  <c r="L134" i="16"/>
  <c r="L135" i="16"/>
  <c r="L136" i="16"/>
  <c r="K137" i="16"/>
  <c r="L137" i="16"/>
  <c r="L138" i="16"/>
  <c r="L139" i="16"/>
  <c r="K140" i="16"/>
  <c r="L140" i="16"/>
  <c r="K141" i="16"/>
  <c r="L141" i="16"/>
  <c r="K142" i="16"/>
  <c r="L142" i="16"/>
  <c r="K143" i="16"/>
  <c r="L143" i="16"/>
  <c r="K144" i="16"/>
  <c r="L144" i="16"/>
  <c r="K145" i="16"/>
  <c r="L145" i="16"/>
  <c r="K146" i="16"/>
  <c r="L146" i="16"/>
  <c r="K147" i="16"/>
  <c r="L147" i="16"/>
  <c r="K148" i="16"/>
  <c r="L148" i="16"/>
  <c r="L149" i="16"/>
  <c r="L150" i="16"/>
  <c r="L151" i="16"/>
  <c r="L152" i="16"/>
  <c r="K153" i="16"/>
  <c r="L153" i="16"/>
  <c r="L154" i="16"/>
  <c r="L155" i="16"/>
  <c r="K156" i="16"/>
  <c r="L156" i="16"/>
  <c r="K157" i="16"/>
  <c r="L157" i="16"/>
  <c r="K158" i="16"/>
  <c r="L158" i="16"/>
  <c r="K159" i="16"/>
  <c r="L159" i="16"/>
  <c r="K160" i="16"/>
  <c r="L160" i="16"/>
  <c r="K161" i="16"/>
  <c r="L161" i="16"/>
  <c r="K162" i="16"/>
  <c r="L162" i="16"/>
  <c r="K163" i="16"/>
  <c r="L163" i="16"/>
  <c r="K164" i="16"/>
  <c r="L164" i="16"/>
  <c r="L165" i="16"/>
  <c r="L166" i="16"/>
  <c r="L167" i="16"/>
  <c r="L168" i="16"/>
  <c r="K169" i="16"/>
  <c r="L169" i="16"/>
  <c r="L170" i="16"/>
  <c r="L171" i="16"/>
  <c r="K172" i="16"/>
  <c r="L172" i="16"/>
  <c r="K173" i="16"/>
  <c r="L173" i="16"/>
  <c r="K174" i="16"/>
  <c r="L174" i="16"/>
  <c r="K175" i="16"/>
  <c r="L175" i="16"/>
  <c r="K176" i="16"/>
  <c r="L176" i="16"/>
  <c r="K177" i="16"/>
  <c r="L177" i="16"/>
  <c r="K178" i="16"/>
  <c r="L178" i="16"/>
  <c r="L179" i="16"/>
  <c r="K180" i="16"/>
  <c r="L180" i="16"/>
  <c r="K181" i="16"/>
  <c r="L181" i="16"/>
  <c r="L182" i="16"/>
  <c r="L183" i="16"/>
  <c r="L184" i="16"/>
  <c r="K185" i="16"/>
  <c r="L185" i="16"/>
  <c r="L186" i="16"/>
  <c r="L187" i="16"/>
  <c r="K188" i="16"/>
  <c r="L188" i="16"/>
  <c r="K189" i="16"/>
  <c r="L189" i="16"/>
  <c r="K190" i="16"/>
  <c r="L190" i="16"/>
  <c r="K191" i="16"/>
  <c r="L191" i="16"/>
  <c r="K192" i="16"/>
  <c r="L192" i="16"/>
  <c r="K193" i="16"/>
  <c r="L193" i="16"/>
  <c r="K194" i="16"/>
  <c r="L194" i="16"/>
  <c r="L195" i="16"/>
  <c r="L196" i="16"/>
  <c r="L197" i="16"/>
  <c r="K198" i="16"/>
  <c r="L198" i="16"/>
  <c r="L199" i="16"/>
  <c r="L200" i="16"/>
  <c r="K201" i="16"/>
  <c r="L201" i="16"/>
  <c r="L202" i="16"/>
  <c r="L203" i="16"/>
  <c r="K204" i="16"/>
  <c r="L204" i="16"/>
  <c r="K205" i="16"/>
  <c r="L205" i="16"/>
  <c r="K206" i="16"/>
  <c r="L206" i="16"/>
  <c r="K207" i="16"/>
  <c r="L207" i="16"/>
  <c r="K208" i="16"/>
  <c r="L208" i="16"/>
  <c r="K209" i="16"/>
  <c r="L209" i="16"/>
  <c r="K210" i="16"/>
  <c r="L210" i="16"/>
  <c r="L211" i="16"/>
  <c r="L212" i="16"/>
  <c r="L213" i="16"/>
  <c r="L214" i="16"/>
  <c r="K215" i="16"/>
  <c r="L215" i="16"/>
  <c r="K216" i="16"/>
  <c r="L216" i="16"/>
  <c r="K217" i="16"/>
  <c r="L217" i="16"/>
  <c r="L218" i="16"/>
  <c r="L219" i="16"/>
  <c r="K220" i="16"/>
  <c r="L220" i="16"/>
  <c r="K221" i="16"/>
  <c r="L221" i="16"/>
  <c r="K222" i="16"/>
  <c r="L222" i="16"/>
  <c r="K223" i="16"/>
  <c r="L223" i="16"/>
  <c r="K224" i="16"/>
  <c r="L224" i="16"/>
  <c r="K225" i="16"/>
  <c r="L225" i="16"/>
  <c r="K226" i="16"/>
  <c r="L226" i="16"/>
  <c r="L227" i="16"/>
  <c r="L228" i="16"/>
  <c r="L229" i="16"/>
  <c r="L230" i="16"/>
  <c r="L231" i="16"/>
  <c r="K232" i="16"/>
  <c r="L232" i="16"/>
  <c r="K233" i="16"/>
  <c r="L233" i="16"/>
  <c r="L234" i="16"/>
  <c r="M42" i="16"/>
  <c r="M43" i="16"/>
  <c r="M44" i="16"/>
  <c r="M45" i="16"/>
  <c r="M46" i="16"/>
  <c r="M47" i="16"/>
  <c r="M48" i="16"/>
  <c r="M49" i="16"/>
  <c r="M50" i="16"/>
  <c r="M51" i="16"/>
  <c r="M52" i="16"/>
  <c r="M53" i="16"/>
  <c r="M54" i="16"/>
  <c r="M55" i="16"/>
  <c r="M56" i="16"/>
  <c r="M57" i="16"/>
  <c r="M58" i="16"/>
  <c r="M59" i="16"/>
  <c r="M60" i="16"/>
  <c r="M61" i="16"/>
  <c r="M62" i="16"/>
  <c r="M63" i="16"/>
  <c r="M64" i="16"/>
  <c r="M65" i="16"/>
  <c r="M66" i="16"/>
  <c r="M67" i="16"/>
  <c r="M68" i="16"/>
  <c r="M69" i="16"/>
  <c r="M70" i="16"/>
  <c r="M71" i="16"/>
  <c r="M72" i="16"/>
  <c r="M73" i="16"/>
  <c r="M74" i="16"/>
  <c r="M75" i="16"/>
  <c r="M76" i="16"/>
  <c r="M77" i="16"/>
  <c r="M78" i="16"/>
  <c r="M79" i="16"/>
  <c r="M80" i="16"/>
  <c r="M81" i="16"/>
  <c r="M82" i="16"/>
  <c r="M83" i="16"/>
  <c r="M84" i="16"/>
  <c r="M85" i="16"/>
  <c r="M86" i="16"/>
  <c r="M87" i="16"/>
  <c r="M88" i="16"/>
  <c r="M89" i="16"/>
  <c r="M90" i="16"/>
  <c r="M91" i="16"/>
  <c r="M92" i="16"/>
  <c r="M93" i="16"/>
  <c r="M94" i="16"/>
  <c r="M95" i="16"/>
  <c r="M96" i="16"/>
  <c r="M97" i="16"/>
  <c r="M98" i="16"/>
  <c r="M99" i="16"/>
  <c r="M100" i="16"/>
  <c r="M101" i="16"/>
  <c r="M102" i="16"/>
  <c r="M103" i="16"/>
  <c r="M104" i="16"/>
  <c r="M105" i="16"/>
  <c r="M106" i="16"/>
  <c r="M107" i="16"/>
  <c r="M108" i="16"/>
  <c r="M109" i="16"/>
  <c r="M110" i="16"/>
  <c r="M111" i="16"/>
  <c r="M112" i="16"/>
  <c r="M113" i="16"/>
  <c r="M114" i="16"/>
  <c r="M115" i="16"/>
  <c r="M116" i="16"/>
  <c r="M117" i="16"/>
  <c r="M118" i="16"/>
  <c r="M119" i="16"/>
  <c r="M120" i="16"/>
  <c r="M121" i="16"/>
  <c r="M122" i="16"/>
  <c r="M123" i="16"/>
  <c r="M124" i="16"/>
  <c r="M125" i="16"/>
  <c r="M126" i="16"/>
  <c r="M127" i="16"/>
  <c r="M128" i="16"/>
  <c r="M129" i="16"/>
  <c r="M130" i="16"/>
  <c r="M131" i="16"/>
  <c r="M132" i="16"/>
  <c r="M133" i="16"/>
  <c r="M134" i="16"/>
  <c r="M135" i="16"/>
  <c r="M136" i="16"/>
  <c r="M137" i="16"/>
  <c r="M138" i="16"/>
  <c r="M139" i="16"/>
  <c r="M140" i="16"/>
  <c r="M141" i="16"/>
  <c r="M142" i="16"/>
  <c r="M143" i="16"/>
  <c r="M144" i="16"/>
  <c r="M145" i="16"/>
  <c r="M146" i="16"/>
  <c r="M147" i="16"/>
  <c r="M148" i="16"/>
  <c r="M149" i="16"/>
  <c r="M150" i="16"/>
  <c r="M151" i="16"/>
  <c r="M152" i="16"/>
  <c r="M153" i="16"/>
  <c r="M154" i="16"/>
  <c r="M155" i="16"/>
  <c r="M156" i="16"/>
  <c r="M157" i="16"/>
  <c r="M158" i="16"/>
  <c r="M159" i="16"/>
  <c r="M160" i="16"/>
  <c r="M161" i="16"/>
  <c r="M162" i="16"/>
  <c r="M163" i="16"/>
  <c r="M164" i="16"/>
  <c r="M165" i="16"/>
  <c r="M166" i="16"/>
  <c r="M167" i="16"/>
  <c r="M168" i="16"/>
  <c r="M169" i="16"/>
  <c r="M170" i="16"/>
  <c r="M171" i="16"/>
  <c r="M172" i="16"/>
  <c r="M173" i="16"/>
  <c r="M174" i="16"/>
  <c r="M175" i="16"/>
  <c r="M176" i="16"/>
  <c r="M177" i="16"/>
  <c r="M178" i="16"/>
  <c r="M179" i="16"/>
  <c r="M180" i="16"/>
  <c r="M181" i="16"/>
  <c r="M182" i="16"/>
  <c r="M183" i="16"/>
  <c r="M184" i="16"/>
  <c r="M185" i="16"/>
  <c r="M186" i="16"/>
  <c r="M187" i="16"/>
  <c r="M188" i="16"/>
  <c r="M189" i="16"/>
  <c r="M190" i="16"/>
  <c r="M191" i="16"/>
  <c r="M192" i="16"/>
  <c r="M193" i="16"/>
  <c r="M194" i="16"/>
  <c r="M195" i="16"/>
  <c r="M196" i="16"/>
  <c r="M197" i="16"/>
  <c r="M198" i="16"/>
  <c r="M199" i="16"/>
  <c r="M200" i="16"/>
  <c r="M201" i="16"/>
  <c r="M202" i="16"/>
  <c r="M203" i="16"/>
  <c r="M204" i="16"/>
  <c r="M205" i="16"/>
  <c r="M206" i="16"/>
  <c r="M207" i="16"/>
  <c r="M208" i="16"/>
  <c r="M209" i="16"/>
  <c r="M210" i="16"/>
  <c r="M211" i="16"/>
  <c r="M212" i="16"/>
  <c r="M213" i="16"/>
  <c r="M214" i="16"/>
  <c r="M215" i="16"/>
  <c r="M216" i="16"/>
  <c r="M217" i="16"/>
  <c r="M218" i="16"/>
  <c r="M219" i="16"/>
  <c r="M220" i="16"/>
  <c r="M221" i="16"/>
  <c r="M222" i="16"/>
  <c r="M223" i="16"/>
  <c r="M224" i="16"/>
  <c r="M225" i="16"/>
  <c r="M226" i="16"/>
  <c r="M227" i="16"/>
  <c r="M228" i="16"/>
  <c r="M229" i="16"/>
  <c r="M230" i="16"/>
  <c r="M231" i="16"/>
  <c r="M232" i="16"/>
  <c r="M233" i="16"/>
  <c r="M234" i="16"/>
  <c r="K199" i="16" l="1"/>
  <c r="K182" i="16"/>
  <c r="K165" i="16"/>
  <c r="K71" i="16"/>
  <c r="K37" i="16"/>
  <c r="K23" i="16"/>
  <c r="N230" i="16"/>
  <c r="K103" i="16"/>
  <c r="N134" i="16"/>
  <c r="N211" i="16"/>
  <c r="K230" i="16"/>
  <c r="K213" i="16"/>
  <c r="K196" i="16"/>
  <c r="K179" i="16"/>
  <c r="K136" i="16"/>
  <c r="K119" i="16"/>
  <c r="K102" i="16"/>
  <c r="K85" i="16"/>
  <c r="K68" i="16"/>
  <c r="K51" i="16"/>
  <c r="K21" i="16"/>
  <c r="N135" i="16"/>
  <c r="N183" i="16"/>
  <c r="K69" i="16"/>
  <c r="N214" i="16"/>
  <c r="K197" i="16"/>
  <c r="K229" i="16"/>
  <c r="K212" i="16"/>
  <c r="K195" i="16"/>
  <c r="K152" i="16"/>
  <c r="K118" i="16"/>
  <c r="K101" i="16"/>
  <c r="K84" i="16"/>
  <c r="K67" i="16"/>
  <c r="K20" i="16"/>
  <c r="K86" i="16"/>
  <c r="K117" i="16"/>
  <c r="K100" i="16"/>
  <c r="K40" i="16"/>
  <c r="N166" i="16"/>
  <c r="N21" i="16"/>
  <c r="K151" i="16"/>
  <c r="K19" i="16"/>
  <c r="N167" i="16"/>
  <c r="K227" i="16"/>
  <c r="K184" i="16"/>
  <c r="K167" i="16"/>
  <c r="K150" i="16"/>
  <c r="K133" i="16"/>
  <c r="K116" i="16"/>
  <c r="K99" i="16"/>
  <c r="K56" i="16"/>
  <c r="K39" i="16"/>
  <c r="N38" i="16"/>
  <c r="K228" i="16"/>
  <c r="K83" i="16"/>
  <c r="K24" i="16"/>
  <c r="K200" i="16"/>
  <c r="K149" i="16"/>
  <c r="K132" i="16"/>
  <c r="K115" i="16"/>
  <c r="K72" i="16"/>
  <c r="K55" i="16"/>
  <c r="N42" i="16"/>
  <c r="N58" i="16"/>
  <c r="N74" i="16"/>
  <c r="N90" i="16"/>
  <c r="N106" i="16"/>
  <c r="N122" i="16"/>
  <c r="N138" i="16"/>
  <c r="N154" i="16"/>
  <c r="N170" i="16"/>
  <c r="N186" i="16"/>
  <c r="N202" i="16"/>
  <c r="N218" i="16"/>
  <c r="N234" i="16"/>
  <c r="K219" i="16"/>
  <c r="K203" i="16"/>
  <c r="K187" i="16"/>
  <c r="K171" i="16"/>
  <c r="K155" i="16"/>
  <c r="K139" i="16"/>
  <c r="K123" i="16"/>
  <c r="K107" i="16"/>
  <c r="K91" i="16"/>
  <c r="K75" i="16"/>
  <c r="K59" i="16"/>
  <c r="K43" i="16"/>
  <c r="L2" i="16"/>
  <c r="L1" i="16"/>
  <c r="K27" i="16"/>
  <c r="K11" i="16"/>
  <c r="N26" i="16"/>
  <c r="N10" i="16"/>
  <c r="H4" i="16"/>
  <c r="V2" i="16"/>
  <c r="G4" i="16"/>
  <c r="V8" i="16" l="1"/>
  <c r="W52" i="16"/>
  <c r="W15" i="16"/>
  <c r="W221" i="16"/>
  <c r="W225" i="16"/>
  <c r="W119" i="16"/>
  <c r="W67" i="16"/>
  <c r="W209" i="16"/>
  <c r="W161" i="16"/>
  <c r="W112" i="16"/>
  <c r="W200" i="16"/>
  <c r="W103" i="16"/>
  <c r="W87" i="16"/>
  <c r="W126" i="16"/>
  <c r="W17" i="16"/>
  <c r="W10" i="16"/>
  <c r="W156" i="16"/>
  <c r="W25" i="16"/>
  <c r="W179" i="16"/>
  <c r="W51" i="16"/>
  <c r="W61" i="16"/>
  <c r="W194" i="16"/>
  <c r="W26" i="16"/>
  <c r="W127" i="16"/>
  <c r="W218" i="16"/>
  <c r="W164" i="16"/>
  <c r="W118" i="16"/>
  <c r="W18" i="16"/>
  <c r="W148" i="16"/>
  <c r="W9" i="16"/>
  <c r="W45" i="16"/>
  <c r="W173" i="16"/>
  <c r="W178" i="16"/>
  <c r="W170" i="16"/>
  <c r="W40" i="16"/>
  <c r="W37" i="16"/>
  <c r="W205" i="16"/>
  <c r="W195" i="16"/>
  <c r="W16" i="16"/>
  <c r="W210" i="16"/>
  <c r="W89" i="16"/>
  <c r="W31" i="16"/>
  <c r="W79" i="16"/>
  <c r="W137" i="16"/>
  <c r="W140" i="16"/>
  <c r="W163" i="16"/>
  <c r="W32" i="16"/>
  <c r="W185" i="16"/>
  <c r="W232" i="16"/>
  <c r="W41" i="16"/>
  <c r="W71" i="16"/>
  <c r="W230" i="16"/>
  <c r="W102" i="16"/>
  <c r="W132" i="16"/>
  <c r="W155" i="16"/>
  <c r="W81" i="16"/>
  <c r="W189" i="16"/>
  <c r="W162" i="16"/>
  <c r="W35" i="16"/>
  <c r="W29" i="16"/>
  <c r="W69" i="16"/>
  <c r="W11" i="16"/>
  <c r="W121" i="16"/>
  <c r="W110" i="16"/>
  <c r="W14" i="16"/>
  <c r="W53" i="16"/>
  <c r="W57" i="16"/>
  <c r="W88" i="16"/>
  <c r="W231" i="16"/>
  <c r="W33" i="16"/>
  <c r="W177" i="16"/>
  <c r="W22" i="16"/>
  <c r="W224" i="16"/>
  <c r="W80" i="16"/>
  <c r="W28" i="16"/>
  <c r="W223" i="16"/>
  <c r="W63" i="16"/>
  <c r="W222" i="16"/>
  <c r="W94" i="16"/>
  <c r="W124" i="16"/>
  <c r="W147" i="16"/>
  <c r="W181" i="16"/>
  <c r="W146" i="16"/>
  <c r="W24" i="16"/>
  <c r="W180" i="16"/>
  <c r="W42" i="16"/>
  <c r="W85" i="16"/>
  <c r="W111" i="16"/>
  <c r="W216" i="16"/>
  <c r="W72" i="16"/>
  <c r="W215" i="16"/>
  <c r="W55" i="16"/>
  <c r="W214" i="16"/>
  <c r="W86" i="16"/>
  <c r="W116" i="16"/>
  <c r="W139" i="16"/>
  <c r="W165" i="16"/>
  <c r="W130" i="16"/>
  <c r="W113" i="16"/>
  <c r="W197" i="16"/>
  <c r="W169" i="16"/>
  <c r="W145" i="16"/>
  <c r="W208" i="16"/>
  <c r="W64" i="16"/>
  <c r="W207" i="16"/>
  <c r="W47" i="16"/>
  <c r="W206" i="16"/>
  <c r="W78" i="16"/>
  <c r="W108" i="16"/>
  <c r="W44" i="16"/>
  <c r="W131" i="16"/>
  <c r="W157" i="16"/>
  <c r="W219" i="16"/>
  <c r="W114" i="16"/>
  <c r="W128" i="16"/>
  <c r="W172" i="16"/>
  <c r="W217" i="16"/>
  <c r="W192" i="16"/>
  <c r="W213" i="16"/>
  <c r="W129" i="16"/>
  <c r="W184" i="16"/>
  <c r="W56" i="16"/>
  <c r="W199" i="16"/>
  <c r="W19" i="16"/>
  <c r="W198" i="16"/>
  <c r="W70" i="16"/>
  <c r="W77" i="16"/>
  <c r="W101" i="16"/>
  <c r="W228" i="16"/>
  <c r="W100" i="16"/>
  <c r="W27" i="16"/>
  <c r="W123" i="16"/>
  <c r="W149" i="16"/>
  <c r="W43" i="16"/>
  <c r="W98" i="16"/>
  <c r="W154" i="16"/>
  <c r="W183" i="16"/>
  <c r="W226" i="16"/>
  <c r="W59" i="16"/>
  <c r="W92" i="16"/>
  <c r="W38" i="16"/>
  <c r="W82" i="16"/>
  <c r="W138" i="16"/>
  <c r="W233" i="16"/>
  <c r="W150" i="16"/>
  <c r="W75" i="16"/>
  <c r="W135" i="16"/>
  <c r="W201" i="16"/>
  <c r="W171" i="16"/>
  <c r="W191" i="16"/>
  <c r="W30" i="16"/>
  <c r="W190" i="16"/>
  <c r="W62" i="16"/>
  <c r="W220" i="16"/>
  <c r="W115" i="16"/>
  <c r="W141" i="16"/>
  <c r="W202" i="16"/>
  <c r="W97" i="16"/>
  <c r="W168" i="16"/>
  <c r="W8" i="16"/>
  <c r="W175" i="16"/>
  <c r="W182" i="16"/>
  <c r="W54" i="16"/>
  <c r="W212" i="16"/>
  <c r="W84" i="16"/>
  <c r="W107" i="16"/>
  <c r="W133" i="16"/>
  <c r="W13" i="16"/>
  <c r="W66" i="16"/>
  <c r="W122" i="16"/>
  <c r="W136" i="16"/>
  <c r="W203" i="16"/>
  <c r="W159" i="16"/>
  <c r="W21" i="16"/>
  <c r="W95" i="16"/>
  <c r="W93" i="16"/>
  <c r="W142" i="16"/>
  <c r="W120" i="16"/>
  <c r="W187" i="16"/>
  <c r="W193" i="16"/>
  <c r="W96" i="16"/>
  <c r="W48" i="16"/>
  <c r="W186" i="16"/>
  <c r="W160" i="16"/>
  <c r="W167" i="16"/>
  <c r="W174" i="16"/>
  <c r="W46" i="16"/>
  <c r="W204" i="16"/>
  <c r="W99" i="16"/>
  <c r="W125" i="16"/>
  <c r="W58" i="16"/>
  <c r="W106" i="16"/>
  <c r="W34" i="16"/>
  <c r="W65" i="16"/>
  <c r="W152" i="16"/>
  <c r="W12" i="16"/>
  <c r="W151" i="16"/>
  <c r="W166" i="16"/>
  <c r="W20" i="16"/>
  <c r="W196" i="16"/>
  <c r="W68" i="16"/>
  <c r="W227" i="16"/>
  <c r="W91" i="16"/>
  <c r="W117" i="16"/>
  <c r="W50" i="16"/>
  <c r="W134" i="16"/>
  <c r="W104" i="16"/>
  <c r="W234" i="16"/>
  <c r="W105" i="16"/>
  <c r="W176" i="16"/>
  <c r="W73" i="16"/>
  <c r="W39" i="16"/>
  <c r="W76" i="16"/>
  <c r="W36" i="16"/>
  <c r="W49" i="16"/>
  <c r="W144" i="16"/>
  <c r="W143" i="16"/>
  <c r="W158" i="16"/>
  <c r="W153" i="16"/>
  <c r="W229" i="16"/>
  <c r="W188" i="16"/>
  <c r="W60" i="16"/>
  <c r="W211" i="16"/>
  <c r="W83" i="16"/>
  <c r="W109" i="16"/>
  <c r="W23" i="16"/>
  <c r="W74" i="16"/>
  <c r="R9" i="16"/>
  <c r="S9" i="16"/>
  <c r="T9" i="16" s="1"/>
  <c r="Q9" i="16" s="1"/>
  <c r="W90" i="16"/>
  <c r="L5" i="16"/>
  <c r="L6" i="16"/>
  <c r="W5" i="16" l="1"/>
  <c r="O9" i="16"/>
  <c r="R10" i="16" s="1"/>
  <c r="P9" i="16"/>
  <c r="S10" i="16" l="1"/>
  <c r="T10" i="16" s="1"/>
  <c r="O10" i="16" s="1"/>
  <c r="R11" i="16" s="1"/>
  <c r="V9" i="16"/>
  <c r="Q10" i="16" l="1"/>
  <c r="V10" i="16" s="1"/>
  <c r="P10" i="16"/>
  <c r="S11" i="16" s="1"/>
  <c r="T11" i="16" s="1"/>
  <c r="P11" i="16" l="1"/>
  <c r="O11" i="16"/>
  <c r="Q11" i="16"/>
  <c r="V11" i="16" l="1"/>
  <c r="R12" i="16"/>
  <c r="S12" i="16" s="1"/>
  <c r="T12" i="16" s="1"/>
  <c r="P12" i="16" l="1"/>
  <c r="Q12" i="16"/>
  <c r="O12" i="16"/>
  <c r="R13" i="16" l="1"/>
  <c r="S13" i="16" s="1"/>
  <c r="T13" i="16" s="1"/>
  <c r="O13" i="16" s="1"/>
  <c r="V12" i="16"/>
  <c r="P13" i="16" l="1"/>
  <c r="Q13" i="16"/>
  <c r="R14" i="16"/>
  <c r="V13" i="16"/>
  <c r="S14" i="16" l="1"/>
  <c r="T14" i="16" s="1"/>
  <c r="P14" i="16" s="1"/>
  <c r="Q14" i="16" l="1"/>
  <c r="O14" i="16"/>
  <c r="V14" i="16"/>
  <c r="R15" i="16"/>
  <c r="S15" i="16" s="1"/>
  <c r="T15" i="16" s="1"/>
  <c r="P15" i="16" l="1"/>
  <c r="O15" i="16"/>
  <c r="Q15" i="16"/>
  <c r="V15" i="16" s="1"/>
  <c r="R16" i="16" l="1"/>
  <c r="S16" i="16" s="1"/>
  <c r="T16" i="16" s="1"/>
  <c r="O16" i="16" s="1"/>
  <c r="Q16" i="16" l="1"/>
  <c r="V16" i="16" s="1"/>
  <c r="R17" i="16"/>
  <c r="P16" i="16"/>
  <c r="S17" i="16" l="1"/>
  <c r="T17" i="16" s="1"/>
  <c r="O17" i="16" s="1"/>
  <c r="R18" i="16" s="1"/>
  <c r="P17" i="16" l="1"/>
  <c r="S18" i="16" s="1"/>
  <c r="T18" i="16" s="1"/>
  <c r="O18" i="16" s="1"/>
  <c r="Q17" i="16"/>
  <c r="V17" i="16" s="1"/>
  <c r="R19" i="16" l="1"/>
  <c r="P18" i="16"/>
  <c r="Q18" i="16"/>
  <c r="V18" i="16"/>
  <c r="S19" i="16" l="1"/>
  <c r="T19" i="16" s="1"/>
  <c r="O19" i="16" l="1"/>
  <c r="Q19" i="16"/>
  <c r="P19" i="16"/>
  <c r="V19" i="16" l="1"/>
  <c r="R20" i="16"/>
  <c r="S20" i="16" s="1"/>
  <c r="T20" i="16" s="1"/>
  <c r="O20" i="16" s="1"/>
  <c r="R21" i="16" l="1"/>
  <c r="P20" i="16"/>
  <c r="S21" i="16" s="1"/>
  <c r="T21" i="16" s="1"/>
  <c r="Q20" i="16"/>
  <c r="V20" i="16" s="1"/>
  <c r="Q21" i="16" l="1"/>
  <c r="O21" i="16"/>
  <c r="P21" i="16"/>
  <c r="V21" i="16"/>
  <c r="R22" i="16" l="1"/>
  <c r="S22" i="16" s="1"/>
  <c r="T22" i="16" s="1"/>
  <c r="P22" i="16" s="1"/>
  <c r="O22" i="16" l="1"/>
  <c r="Q22" i="16"/>
  <c r="R23" i="16" l="1"/>
  <c r="V22" i="16"/>
  <c r="S23" i="16"/>
  <c r="T23" i="16" s="1"/>
  <c r="P23" i="16" s="1"/>
  <c r="O23" i="16" l="1"/>
  <c r="Q23" i="16"/>
  <c r="V23" i="16" l="1"/>
  <c r="R24" i="16"/>
  <c r="S24" i="16"/>
  <c r="T24" i="16" s="1"/>
  <c r="P24" i="16" s="1"/>
  <c r="O24" i="16" l="1"/>
  <c r="Q24" i="16"/>
  <c r="V24" i="16" l="1"/>
  <c r="R25" i="16"/>
  <c r="S25" i="16" s="1"/>
  <c r="T25" i="16" s="1"/>
  <c r="P25" i="16" l="1"/>
  <c r="O25" i="16"/>
  <c r="Q25" i="16"/>
  <c r="V25" i="16" s="1"/>
  <c r="R26" i="16" l="1"/>
  <c r="S26" i="16" l="1"/>
  <c r="T26" i="16" s="1"/>
  <c r="P26" i="16" l="1"/>
  <c r="O26" i="16"/>
  <c r="Q26" i="16"/>
  <c r="V26" i="16" l="1"/>
  <c r="R27" i="16"/>
  <c r="S27" i="16" s="1"/>
  <c r="T27" i="16" s="1"/>
  <c r="Q27" i="16" s="1"/>
  <c r="P27" i="16" l="1"/>
  <c r="O27" i="16"/>
  <c r="V27" i="16" s="1"/>
  <c r="R28" i="16" l="1"/>
  <c r="S28" i="16" s="1"/>
  <c r="T28" i="16" s="1"/>
  <c r="P28" i="16" s="1"/>
  <c r="O28" i="16" l="1"/>
  <c r="Q28" i="16"/>
  <c r="V28" i="16" l="1"/>
  <c r="R29" i="16"/>
  <c r="S29" i="16"/>
  <c r="T29" i="16" s="1"/>
  <c r="Q29" i="16" s="1"/>
  <c r="O29" i="16" l="1"/>
  <c r="V29" i="16" s="1"/>
  <c r="P29" i="16"/>
  <c r="R30" i="16" l="1"/>
  <c r="S30" i="16" s="1"/>
  <c r="T30" i="16" s="1"/>
  <c r="Q30" i="16" s="1"/>
  <c r="O30" i="16" l="1"/>
  <c r="V30" i="16" s="1"/>
  <c r="P30" i="16"/>
  <c r="R31" i="16" l="1"/>
  <c r="S31" i="16"/>
  <c r="T31" i="16" s="1"/>
  <c r="P31" i="16" s="1"/>
  <c r="O31" i="16" l="1"/>
  <c r="Q31" i="16"/>
  <c r="V31" i="16" s="1"/>
  <c r="R32" i="16" l="1"/>
  <c r="S32" i="16" s="1"/>
  <c r="T32" i="16" s="1"/>
  <c r="O32" i="16" s="1"/>
  <c r="R33" i="16" l="1"/>
  <c r="Q32" i="16"/>
  <c r="P32" i="16"/>
  <c r="Q5" i="16"/>
  <c r="Q6" i="16" s="1"/>
  <c r="V32" i="16"/>
  <c r="V5" i="16" s="1"/>
  <c r="S33" i="16"/>
  <c r="T33" i="16" s="1"/>
  <c r="O33" i="16" s="1"/>
  <c r="R34" i="16" l="1"/>
  <c r="P33" i="16"/>
  <c r="Q33" i="16"/>
  <c r="V33" i="16" s="1"/>
  <c r="S34" i="16" l="1"/>
  <c r="T34" i="16" s="1"/>
  <c r="O34" i="16" s="1"/>
  <c r="R35" i="16" l="1"/>
  <c r="P34" i="16"/>
  <c r="Q34" i="16"/>
  <c r="S35" i="16" l="1"/>
  <c r="T35" i="16" s="1"/>
  <c r="O35" i="16" s="1"/>
  <c r="V34" i="16"/>
  <c r="R36" i="16" l="1"/>
  <c r="Q35" i="16"/>
  <c r="P35" i="16"/>
  <c r="V35" i="16"/>
  <c r="S36" i="16" l="1"/>
  <c r="T36" i="16" s="1"/>
  <c r="P36" i="16" l="1"/>
  <c r="O36" i="16"/>
  <c r="Q36" i="16"/>
  <c r="V36" i="16" l="1"/>
  <c r="R37" i="16"/>
  <c r="S37" i="16" s="1"/>
  <c r="T37" i="16" s="1"/>
  <c r="P37" i="16" s="1"/>
  <c r="O37" i="16" l="1"/>
  <c r="Q37" i="16"/>
  <c r="V37" i="16" l="1"/>
  <c r="R38" i="16"/>
  <c r="S38" i="16" s="1"/>
  <c r="T38" i="16" s="1"/>
  <c r="P38" i="16" s="1"/>
  <c r="Q38" i="16" l="1"/>
  <c r="O38" i="16"/>
  <c r="R39" i="16" l="1"/>
  <c r="S39" i="16" s="1"/>
  <c r="T39" i="16" s="1"/>
  <c r="V38" i="16"/>
  <c r="P39" i="16" l="1"/>
  <c r="Q39" i="16"/>
  <c r="O39" i="16"/>
  <c r="R40" i="16" l="1"/>
  <c r="S40" i="16" s="1"/>
  <c r="T40" i="16" s="1"/>
  <c r="O40" i="16" s="1"/>
  <c r="V39" i="16"/>
  <c r="P40" i="16" l="1"/>
  <c r="Q40" i="16"/>
  <c r="R41" i="16"/>
  <c r="S41" i="16" s="1"/>
  <c r="T41" i="16" s="1"/>
  <c r="Q41" i="16" s="1"/>
  <c r="V40" i="16"/>
  <c r="O41" i="16" l="1"/>
  <c r="V41" i="16" s="1"/>
  <c r="P41" i="16"/>
  <c r="R42" i="16" l="1"/>
  <c r="S42" i="16" s="1"/>
  <c r="T42" i="16" s="1"/>
  <c r="P42" i="16" s="1"/>
  <c r="O42" i="16" l="1"/>
  <c r="Q42" i="16"/>
  <c r="V42" i="16" l="1"/>
  <c r="R43" i="16"/>
  <c r="S43" i="16" s="1"/>
  <c r="T43" i="16" s="1"/>
  <c r="O43" i="16" s="1"/>
  <c r="Q43" i="16" l="1"/>
  <c r="P43" i="16"/>
  <c r="R44" i="16"/>
  <c r="V43" i="16"/>
  <c r="S44" i="16" l="1"/>
  <c r="T44" i="16" s="1"/>
  <c r="O44" i="16" s="1"/>
  <c r="R45" i="16" s="1"/>
  <c r="P44" i="16" l="1"/>
  <c r="Q44" i="16"/>
  <c r="V44" i="16" s="1"/>
  <c r="S45" i="16"/>
  <c r="T45" i="16" s="1"/>
  <c r="Q45" i="16" l="1"/>
  <c r="O45" i="16"/>
  <c r="P45" i="16"/>
  <c r="V45" i="16" l="1"/>
  <c r="R46" i="16"/>
  <c r="S46" i="16" s="1"/>
  <c r="T46" i="16" s="1"/>
  <c r="P46" i="16" s="1"/>
  <c r="O46" i="16" l="1"/>
  <c r="Q46" i="16"/>
  <c r="V46" i="16" s="1"/>
  <c r="R47" i="16" l="1"/>
  <c r="S47" i="16" s="1"/>
  <c r="T47" i="16" s="1"/>
  <c r="P47" i="16" s="1"/>
  <c r="Q47" i="16" l="1"/>
  <c r="O47" i="16"/>
  <c r="V47" i="16"/>
  <c r="R48" i="16" l="1"/>
  <c r="S48" i="16" s="1"/>
  <c r="T48" i="16" s="1"/>
  <c r="P48" i="16" s="1"/>
  <c r="O48" i="16" l="1"/>
  <c r="Q48" i="16"/>
  <c r="V48" i="16" l="1"/>
  <c r="R49" i="16"/>
  <c r="S49" i="16"/>
  <c r="T49" i="16" s="1"/>
  <c r="P49" i="16" s="1"/>
  <c r="O49" i="16" l="1"/>
  <c r="Q49" i="16"/>
  <c r="V49" i="16" s="1"/>
  <c r="R50" i="16" l="1"/>
  <c r="S50" i="16" s="1"/>
  <c r="T50" i="16" s="1"/>
  <c r="Q50" i="16" s="1"/>
  <c r="O50" i="16" l="1"/>
  <c r="P50" i="16"/>
  <c r="V50" i="16"/>
  <c r="R51" i="16" l="1"/>
  <c r="S51" i="16" s="1"/>
  <c r="T51" i="16" s="1"/>
  <c r="O51" i="16" s="1"/>
  <c r="R52" i="16" l="1"/>
  <c r="P51" i="16"/>
  <c r="Q51" i="16"/>
  <c r="V51" i="16" l="1"/>
  <c r="S52" i="16"/>
  <c r="T52" i="16" s="1"/>
  <c r="Q52" i="16" l="1"/>
  <c r="O52" i="16"/>
  <c r="P52" i="16"/>
  <c r="V52" i="16" l="1"/>
  <c r="R53" i="16"/>
  <c r="S53" i="16" s="1"/>
  <c r="T53" i="16" s="1"/>
  <c r="Q53" i="16" l="1"/>
  <c r="P53" i="16"/>
  <c r="O53" i="16"/>
  <c r="R54" i="16" l="1"/>
  <c r="S54" i="16" s="1"/>
  <c r="T54" i="16" s="1"/>
  <c r="O54" i="16" s="1"/>
  <c r="V53" i="16"/>
  <c r="R55" i="16" l="1"/>
  <c r="Q54" i="16"/>
  <c r="V54" i="16" s="1"/>
  <c r="P54" i="16"/>
  <c r="S55" i="16" l="1"/>
  <c r="T55" i="16" s="1"/>
  <c r="P55" i="16" s="1"/>
  <c r="Q55" i="16" l="1"/>
  <c r="O55" i="16"/>
  <c r="R56" i="16" l="1"/>
  <c r="S56" i="16" s="1"/>
  <c r="T56" i="16" s="1"/>
  <c r="P56" i="16" s="1"/>
  <c r="V55" i="16"/>
  <c r="Q56" i="16" l="1"/>
  <c r="O56" i="16"/>
  <c r="R57" i="16" l="1"/>
  <c r="S57" i="16" s="1"/>
  <c r="T57" i="16" s="1"/>
  <c r="P57" i="16" s="1"/>
  <c r="V56" i="16"/>
  <c r="Q57" i="16" l="1"/>
  <c r="O57" i="16"/>
  <c r="R58" i="16" l="1"/>
  <c r="S58" i="16" s="1"/>
  <c r="T58" i="16" s="1"/>
  <c r="P58" i="16" s="1"/>
  <c r="V57" i="16"/>
  <c r="Q58" i="16" l="1"/>
  <c r="O58" i="16"/>
  <c r="R59" i="16" l="1"/>
  <c r="S59" i="16" s="1"/>
  <c r="T59" i="16" s="1"/>
  <c r="P59" i="16" s="1"/>
  <c r="V58" i="16"/>
  <c r="Q59" i="16" l="1"/>
  <c r="O59" i="16"/>
  <c r="R60" i="16" l="1"/>
  <c r="S60" i="16" s="1"/>
  <c r="T60" i="16" s="1"/>
  <c r="V59" i="16"/>
  <c r="P60" i="16" l="1"/>
  <c r="Q60" i="16"/>
  <c r="O60" i="16"/>
  <c r="R61" i="16" l="1"/>
  <c r="S61" i="16" s="1"/>
  <c r="T61" i="16" s="1"/>
  <c r="O61" i="16" s="1"/>
  <c r="V60" i="16"/>
  <c r="R62" i="16" l="1"/>
  <c r="P61" i="16"/>
  <c r="Q61" i="16"/>
  <c r="S62" i="16" l="1"/>
  <c r="T62" i="16" s="1"/>
  <c r="P62" i="16" s="1"/>
  <c r="V61" i="16"/>
  <c r="O62" i="16" l="1"/>
  <c r="R63" i="16" s="1"/>
  <c r="S63" i="16" s="1"/>
  <c r="T63" i="16" s="1"/>
  <c r="Q62" i="16"/>
  <c r="V62" i="16" l="1"/>
  <c r="Q63" i="16"/>
  <c r="P63" i="16"/>
  <c r="O63" i="16"/>
  <c r="R64" i="16" l="1"/>
  <c r="S64" i="16" s="1"/>
  <c r="T64" i="16" s="1"/>
  <c r="P64" i="16" s="1"/>
  <c r="V63" i="16"/>
  <c r="Q64" i="16" l="1"/>
  <c r="O64" i="16"/>
  <c r="R65" i="16" l="1"/>
  <c r="S65" i="16" s="1"/>
  <c r="T65" i="16" s="1"/>
  <c r="P65" i="16" s="1"/>
  <c r="V64" i="16"/>
  <c r="O65" i="16" l="1"/>
  <c r="Q65" i="16"/>
  <c r="R66" i="16" l="1"/>
  <c r="S66" i="16" s="1"/>
  <c r="T66" i="16" s="1"/>
  <c r="P66" i="16" s="1"/>
  <c r="V65" i="16"/>
  <c r="O66" i="16" l="1"/>
  <c r="Q66" i="16"/>
  <c r="R67" i="16" l="1"/>
  <c r="S67" i="16" s="1"/>
  <c r="T67" i="16" s="1"/>
  <c r="O67" i="16" s="1"/>
  <c r="V66" i="16"/>
  <c r="Q67" i="16" l="1"/>
  <c r="P67" i="16"/>
  <c r="R68" i="16"/>
  <c r="V67" i="16"/>
  <c r="S68" i="16" l="1"/>
  <c r="T68" i="16" s="1"/>
  <c r="Q68" i="16" l="1"/>
  <c r="O68" i="16"/>
  <c r="P68" i="16"/>
  <c r="R69" i="16" l="1"/>
  <c r="S69" i="16" s="1"/>
  <c r="T69" i="16" s="1"/>
  <c r="Q69" i="16" s="1"/>
  <c r="V68" i="16"/>
  <c r="O69" i="16" l="1"/>
  <c r="P69" i="16"/>
  <c r="R70" i="16" l="1"/>
  <c r="S70" i="16" s="1"/>
  <c r="T70" i="16" s="1"/>
  <c r="V69" i="16"/>
  <c r="Q70" i="16" l="1"/>
  <c r="O70" i="16"/>
  <c r="P70" i="16"/>
  <c r="R71" i="16" l="1"/>
  <c r="S71" i="16" s="1"/>
  <c r="T71" i="16" s="1"/>
  <c r="V70" i="16"/>
  <c r="P71" i="16" l="1"/>
  <c r="Q71" i="16"/>
  <c r="O71" i="16"/>
  <c r="R72" i="16" l="1"/>
  <c r="S72" i="16" s="1"/>
  <c r="T72" i="16" s="1"/>
  <c r="P72" i="16" s="1"/>
  <c r="V71" i="16"/>
  <c r="Q72" i="16" l="1"/>
  <c r="O72" i="16"/>
  <c r="R73" i="16" l="1"/>
  <c r="S73" i="16" s="1"/>
  <c r="T73" i="16" s="1"/>
  <c r="P73" i="16" s="1"/>
  <c r="V72" i="16"/>
  <c r="Q73" i="16" l="1"/>
  <c r="O73" i="16"/>
  <c r="R74" i="16" l="1"/>
  <c r="S74" i="16" s="1"/>
  <c r="T74" i="16" s="1"/>
  <c r="P74" i="16" s="1"/>
  <c r="V73" i="16"/>
  <c r="Q74" i="16" l="1"/>
  <c r="O74" i="16"/>
  <c r="R75" i="16" l="1"/>
  <c r="S75" i="16" s="1"/>
  <c r="T75" i="16" s="1"/>
  <c r="V74" i="16"/>
  <c r="Q75" i="16" l="1"/>
  <c r="P75" i="16"/>
  <c r="O75" i="16"/>
  <c r="R76" i="16" l="1"/>
  <c r="S76" i="16" s="1"/>
  <c r="T76" i="16" s="1"/>
  <c r="Q76" i="16" s="1"/>
  <c r="V75" i="16"/>
  <c r="P76" i="16" l="1"/>
  <c r="O76" i="16"/>
  <c r="R77" i="16" l="1"/>
  <c r="S77" i="16" s="1"/>
  <c r="T77" i="16" s="1"/>
  <c r="Q77" i="16" s="1"/>
  <c r="V76" i="16"/>
  <c r="O77" i="16" l="1"/>
  <c r="P77" i="16"/>
  <c r="R78" i="16" l="1"/>
  <c r="S78" i="16" s="1"/>
  <c r="T78" i="16" s="1"/>
  <c r="V77" i="16"/>
  <c r="P78" i="16" l="1"/>
  <c r="Q78" i="16"/>
  <c r="O78" i="16"/>
  <c r="R79" i="16" l="1"/>
  <c r="S79" i="16" s="1"/>
  <c r="T79" i="16" s="1"/>
  <c r="V78" i="16"/>
  <c r="P79" i="16" l="1"/>
  <c r="Q79" i="16"/>
  <c r="O79" i="16"/>
  <c r="R80" i="16" l="1"/>
  <c r="S80" i="16" s="1"/>
  <c r="T80" i="16" s="1"/>
  <c r="Q80" i="16" s="1"/>
  <c r="V79" i="16"/>
  <c r="O80" i="16" l="1"/>
  <c r="P80" i="16"/>
  <c r="R81" i="16" l="1"/>
  <c r="S81" i="16" s="1"/>
  <c r="T81" i="16" s="1"/>
  <c r="V80" i="16"/>
  <c r="Q81" i="16" l="1"/>
  <c r="P81" i="16"/>
  <c r="O81" i="16"/>
  <c r="R82" i="16" l="1"/>
  <c r="V81" i="16"/>
  <c r="S82" i="16"/>
  <c r="T82" i="16" s="1"/>
  <c r="P82" i="16" s="1"/>
  <c r="Q82" i="16" l="1"/>
  <c r="O82" i="16"/>
  <c r="R83" i="16" l="1"/>
  <c r="S83" i="16" s="1"/>
  <c r="T83" i="16" s="1"/>
  <c r="V82" i="16"/>
  <c r="Q83" i="16" l="1"/>
  <c r="P83" i="16"/>
  <c r="O83" i="16"/>
  <c r="R84" i="16" l="1"/>
  <c r="S84" i="16" s="1"/>
  <c r="T84" i="16" s="1"/>
  <c r="Q84" i="16" s="1"/>
  <c r="V83" i="16"/>
  <c r="P84" i="16" l="1"/>
  <c r="O84" i="16"/>
  <c r="R85" i="16" l="1"/>
  <c r="S85" i="16" s="1"/>
  <c r="T85" i="16" s="1"/>
  <c r="Q85" i="16" s="1"/>
  <c r="V84" i="16"/>
  <c r="P85" i="16" l="1"/>
  <c r="O85" i="16"/>
  <c r="R86" i="16" l="1"/>
  <c r="S86" i="16" s="1"/>
  <c r="T86" i="16" s="1"/>
  <c r="V85" i="16"/>
  <c r="Q86" i="16" l="1"/>
  <c r="P86" i="16"/>
  <c r="O86" i="16"/>
  <c r="R87" i="16" l="1"/>
  <c r="V86" i="16"/>
  <c r="S87" i="16"/>
  <c r="T87" i="16" s="1"/>
  <c r="Q87" i="16" s="1"/>
  <c r="P87" i="16" l="1"/>
  <c r="O87" i="16"/>
  <c r="R88" i="16" l="1"/>
  <c r="V87" i="16"/>
  <c r="S88" i="16"/>
  <c r="T88" i="16" s="1"/>
  <c r="Q88" i="16" s="1"/>
  <c r="P88" i="16" l="1"/>
  <c r="O88" i="16"/>
  <c r="R89" i="16" l="1"/>
  <c r="S89" i="16" s="1"/>
  <c r="T89" i="16" s="1"/>
  <c r="Q89" i="16" s="1"/>
  <c r="V88" i="16"/>
  <c r="P89" i="16" l="1"/>
  <c r="O89" i="16"/>
  <c r="R90" i="16" l="1"/>
  <c r="V89" i="16"/>
  <c r="S90" i="16"/>
  <c r="T90" i="16" s="1"/>
  <c r="Q90" i="16" s="1"/>
  <c r="P90" i="16" l="1"/>
  <c r="O90" i="16"/>
  <c r="R91" i="16" l="1"/>
  <c r="V90" i="16"/>
  <c r="S91" i="16"/>
  <c r="T91" i="16" s="1"/>
  <c r="Q91" i="16" s="1"/>
  <c r="O91" i="16" l="1"/>
  <c r="R92" i="16" s="1"/>
  <c r="P91" i="16"/>
  <c r="V91" i="16" l="1"/>
  <c r="S92" i="16"/>
  <c r="T92" i="16" s="1"/>
  <c r="P92" i="16" s="1"/>
  <c r="O92" i="16" l="1"/>
  <c r="Q92" i="16"/>
  <c r="R93" i="16" l="1"/>
  <c r="S93" i="16" s="1"/>
  <c r="T93" i="16" s="1"/>
  <c r="V92" i="16"/>
  <c r="Q93" i="16" l="1"/>
  <c r="P93" i="16"/>
  <c r="O93" i="16"/>
  <c r="R94" i="16" l="1"/>
  <c r="S94" i="16" s="1"/>
  <c r="T94" i="16" s="1"/>
  <c r="V93" i="16"/>
  <c r="P94" i="16" l="1"/>
  <c r="Q94" i="16"/>
  <c r="O94" i="16"/>
  <c r="R95" i="16" l="1"/>
  <c r="V94" i="16"/>
  <c r="S95" i="16"/>
  <c r="T95" i="16" s="1"/>
  <c r="Q95" i="16" s="1"/>
  <c r="P95" i="16" l="1"/>
  <c r="O95" i="16"/>
  <c r="R96" i="16" l="1"/>
  <c r="V95" i="16"/>
  <c r="S96" i="16"/>
  <c r="T96" i="16" s="1"/>
  <c r="Q96" i="16" s="1"/>
  <c r="P96" i="16" l="1"/>
  <c r="O96" i="16"/>
  <c r="R97" i="16" l="1"/>
  <c r="S97" i="16" s="1"/>
  <c r="T97" i="16" s="1"/>
  <c r="Q97" i="16" s="1"/>
  <c r="V96" i="16"/>
  <c r="O97" i="16" l="1"/>
  <c r="P97" i="16"/>
  <c r="R98" i="16" l="1"/>
  <c r="S98" i="16" s="1"/>
  <c r="T98" i="16" s="1"/>
  <c r="Q98" i="16" s="1"/>
  <c r="V97" i="16"/>
  <c r="O98" i="16" l="1"/>
  <c r="P98" i="16"/>
  <c r="R99" i="16" l="1"/>
  <c r="V98" i="16"/>
  <c r="S99" i="16"/>
  <c r="T99" i="16" s="1"/>
  <c r="Q99" i="16" s="1"/>
  <c r="P99" i="16" l="1"/>
  <c r="O99" i="16"/>
  <c r="R100" i="16" l="1"/>
  <c r="V99" i="16"/>
  <c r="S100" i="16"/>
  <c r="T100" i="16" s="1"/>
  <c r="P100" i="16" l="1"/>
  <c r="Q100" i="16"/>
  <c r="O100" i="16"/>
  <c r="R101" i="16" l="1"/>
  <c r="S101" i="16" s="1"/>
  <c r="T101" i="16" s="1"/>
  <c r="V100" i="16"/>
  <c r="Q101" i="16" l="1"/>
  <c r="O101" i="16"/>
  <c r="P101" i="16"/>
  <c r="R102" i="16" l="1"/>
  <c r="S102" i="16" s="1"/>
  <c r="T102" i="16" s="1"/>
  <c r="V101" i="16"/>
  <c r="O102" i="16" l="1"/>
  <c r="P102" i="16"/>
  <c r="Q102" i="16"/>
  <c r="R103" i="16" l="1"/>
  <c r="S103" i="16" s="1"/>
  <c r="T103" i="16" s="1"/>
  <c r="V102" i="16"/>
  <c r="Q103" i="16" l="1"/>
  <c r="P103" i="16"/>
  <c r="O103" i="16"/>
  <c r="R104" i="16" l="1"/>
  <c r="S104" i="16" s="1"/>
  <c r="T104" i="16" s="1"/>
  <c r="V103" i="16"/>
  <c r="P104" i="16" l="1"/>
  <c r="O104" i="16"/>
  <c r="Q104" i="16"/>
  <c r="R105" i="16" l="1"/>
  <c r="S105" i="16" s="1"/>
  <c r="T105" i="16" s="1"/>
  <c r="O105" i="16" s="1"/>
  <c r="V104" i="16"/>
  <c r="R106" i="16" l="1"/>
  <c r="Q105" i="16"/>
  <c r="P105" i="16"/>
  <c r="S106" i="16" s="1"/>
  <c r="T106" i="16" s="1"/>
  <c r="P106" i="16" s="1"/>
  <c r="Q106" i="16" l="1"/>
  <c r="V105" i="16"/>
  <c r="O106" i="16"/>
  <c r="R107" i="16" l="1"/>
  <c r="S107" i="16" s="1"/>
  <c r="T107" i="16" s="1"/>
  <c r="P107" i="16" s="1"/>
  <c r="V106" i="16"/>
  <c r="Q107" i="16" l="1"/>
  <c r="O107" i="16"/>
  <c r="R108" i="16" l="1"/>
  <c r="S108" i="16" s="1"/>
  <c r="T108" i="16" s="1"/>
  <c r="P108" i="16" s="1"/>
  <c r="V107" i="16"/>
  <c r="Q108" i="16" l="1"/>
  <c r="O108" i="16"/>
  <c r="R109" i="16" l="1"/>
  <c r="S109" i="16" s="1"/>
  <c r="T109" i="16" s="1"/>
  <c r="V108" i="16"/>
  <c r="P109" i="16" l="1"/>
  <c r="Q109" i="16"/>
  <c r="O109" i="16"/>
  <c r="R110" i="16" l="1"/>
  <c r="V109" i="16"/>
  <c r="S110" i="16"/>
  <c r="T110" i="16" s="1"/>
  <c r="P110" i="16" s="1"/>
  <c r="Q110" i="16" l="1"/>
  <c r="O110" i="16"/>
  <c r="R111" i="16" l="1"/>
  <c r="S111" i="16" s="1"/>
  <c r="T111" i="16" s="1"/>
  <c r="V110" i="16"/>
  <c r="Q111" i="16" l="1"/>
  <c r="P111" i="16"/>
  <c r="O111" i="16"/>
  <c r="R112" i="16" l="1"/>
  <c r="S112" i="16" s="1"/>
  <c r="T112" i="16" s="1"/>
  <c r="P112" i="16" s="1"/>
  <c r="V111" i="16"/>
  <c r="Q112" i="16" l="1"/>
  <c r="O112" i="16"/>
  <c r="R113" i="16" l="1"/>
  <c r="S113" i="16" s="1"/>
  <c r="T113" i="16" s="1"/>
  <c r="P113" i="16" s="1"/>
  <c r="V112" i="16"/>
  <c r="Q113" i="16" l="1"/>
  <c r="O113" i="16"/>
  <c r="R114" i="16" s="1"/>
  <c r="S114" i="16" s="1"/>
  <c r="T114" i="16" s="1"/>
  <c r="V113" i="16" l="1"/>
  <c r="P114" i="16"/>
  <c r="Q114" i="16"/>
  <c r="O114" i="16"/>
  <c r="V114" i="16" l="1"/>
  <c r="R115" i="16"/>
  <c r="S115" i="16" l="1"/>
  <c r="T115" i="16" s="1"/>
  <c r="Q115" i="16" l="1"/>
  <c r="P115" i="16"/>
  <c r="O115" i="16"/>
  <c r="V115" i="16" l="1"/>
  <c r="R116" i="16"/>
  <c r="S116" i="16" s="1"/>
  <c r="T116" i="16" s="1"/>
  <c r="O116" i="16" s="1"/>
  <c r="R117" i="16" l="1"/>
  <c r="Q116" i="16"/>
  <c r="P116" i="16"/>
  <c r="S117" i="16" l="1"/>
  <c r="T117" i="16" s="1"/>
  <c r="V116" i="16"/>
  <c r="P117" i="16" l="1"/>
  <c r="O117" i="16"/>
  <c r="Q117" i="16"/>
  <c r="R118" i="16" l="1"/>
  <c r="S118" i="16" s="1"/>
  <c r="T118" i="16" s="1"/>
  <c r="V117" i="16"/>
  <c r="Q118" i="16" l="1"/>
  <c r="P118" i="16"/>
  <c r="O118" i="16"/>
  <c r="R119" i="16" l="1"/>
  <c r="V118" i="16"/>
  <c r="S119" i="16"/>
  <c r="T119" i="16" s="1"/>
  <c r="Q119" i="16" s="1"/>
  <c r="P119" i="16" l="1"/>
  <c r="O119" i="16"/>
  <c r="R120" i="16" l="1"/>
  <c r="S120" i="16" s="1"/>
  <c r="T120" i="16" s="1"/>
  <c r="Q120" i="16" s="1"/>
  <c r="V119" i="16"/>
  <c r="O120" i="16" l="1"/>
  <c r="R121" i="16" s="1"/>
  <c r="V120" i="16"/>
  <c r="P120" i="16"/>
  <c r="S121" i="16" l="1"/>
  <c r="T121" i="16" s="1"/>
  <c r="Q121" i="16" l="1"/>
  <c r="O121" i="16"/>
  <c r="P121" i="16"/>
  <c r="R122" i="16" l="1"/>
  <c r="S122" i="16" s="1"/>
  <c r="T122" i="16" s="1"/>
  <c r="V121" i="16"/>
  <c r="Q122" i="16" l="1"/>
  <c r="P122" i="16"/>
  <c r="O122" i="16"/>
  <c r="R123" i="16" l="1"/>
  <c r="S123" i="16" s="1"/>
  <c r="T123" i="16" s="1"/>
  <c r="P123" i="16" s="1"/>
  <c r="V122" i="16"/>
  <c r="Q123" i="16" l="1"/>
  <c r="O123" i="16"/>
  <c r="R124" i="16" l="1"/>
  <c r="S124" i="16" s="1"/>
  <c r="T124" i="16" s="1"/>
  <c r="P124" i="16" s="1"/>
  <c r="V123" i="16"/>
  <c r="Q124" i="16" l="1"/>
  <c r="O124" i="16"/>
  <c r="R125" i="16" l="1"/>
  <c r="S125" i="16" s="1"/>
  <c r="T125" i="16" s="1"/>
  <c r="V124" i="16"/>
  <c r="Q125" i="16" l="1"/>
  <c r="P125" i="16"/>
  <c r="O125" i="16"/>
  <c r="R126" i="16" l="1"/>
  <c r="V125" i="16"/>
  <c r="S126" i="16"/>
  <c r="T126" i="16" s="1"/>
  <c r="Q126" i="16" s="1"/>
  <c r="P126" i="16" l="1"/>
  <c r="O126" i="16"/>
  <c r="R127" i="16" l="1"/>
  <c r="S127" i="16" s="1"/>
  <c r="T127" i="16" s="1"/>
  <c r="V126" i="16"/>
  <c r="P127" i="16" l="1"/>
  <c r="Q127" i="16"/>
  <c r="O127" i="16"/>
  <c r="R128" i="16" l="1"/>
  <c r="S128" i="16" s="1"/>
  <c r="T128" i="16" s="1"/>
  <c r="Q128" i="16" s="1"/>
  <c r="V127" i="16"/>
  <c r="P128" i="16" l="1"/>
  <c r="O128" i="16"/>
  <c r="R129" i="16" l="1"/>
  <c r="S129" i="16" s="1"/>
  <c r="T129" i="16" s="1"/>
  <c r="V128" i="16"/>
  <c r="P129" i="16" l="1"/>
  <c r="Q129" i="16"/>
  <c r="O129" i="16"/>
  <c r="R130" i="16" l="1"/>
  <c r="S130" i="16" s="1"/>
  <c r="T130" i="16" s="1"/>
  <c r="V129" i="16"/>
  <c r="P130" i="16" l="1"/>
  <c r="O130" i="16"/>
  <c r="Q130" i="16"/>
  <c r="R131" i="16" l="1"/>
  <c r="V130" i="16"/>
  <c r="S131" i="16"/>
  <c r="T131" i="16" s="1"/>
  <c r="Q131" i="16" s="1"/>
  <c r="P131" i="16" l="1"/>
  <c r="O131" i="16"/>
  <c r="R132" i="16" l="1"/>
  <c r="S132" i="16" s="1"/>
  <c r="T132" i="16" s="1"/>
  <c r="O132" i="16" s="1"/>
  <c r="V131" i="16"/>
  <c r="R133" i="16" l="1"/>
  <c r="Q132" i="16"/>
  <c r="V132" i="16" s="1"/>
  <c r="P132" i="16"/>
  <c r="S133" i="16" l="1"/>
  <c r="T133" i="16" s="1"/>
  <c r="P133" i="16" s="1"/>
  <c r="Q133" i="16" l="1"/>
  <c r="O133" i="16"/>
  <c r="R134" i="16" l="1"/>
  <c r="S134" i="16" s="1"/>
  <c r="T134" i="16" s="1"/>
  <c r="P134" i="16" s="1"/>
  <c r="V133" i="16"/>
  <c r="Q134" i="16" l="1"/>
  <c r="O134" i="16"/>
  <c r="R135" i="16" l="1"/>
  <c r="S135" i="16" s="1"/>
  <c r="T135" i="16" s="1"/>
  <c r="O135" i="16" s="1"/>
  <c r="V134" i="16"/>
  <c r="R136" i="16" l="1"/>
  <c r="Q135" i="16"/>
  <c r="V135" i="16" s="1"/>
  <c r="P135" i="16"/>
  <c r="S136" i="16" l="1"/>
  <c r="T136" i="16" s="1"/>
  <c r="O136" i="16" s="1"/>
  <c r="Q136" i="16" l="1"/>
  <c r="P136" i="16"/>
  <c r="V136" i="16"/>
  <c r="R137" i="16"/>
  <c r="S137" i="16" l="1"/>
  <c r="T137" i="16" s="1"/>
  <c r="P137" i="16" s="1"/>
  <c r="Q137" i="16" l="1"/>
  <c r="O137" i="16"/>
  <c r="R138" i="16" l="1"/>
  <c r="S138" i="16" s="1"/>
  <c r="T138" i="16" s="1"/>
  <c r="P138" i="16" s="1"/>
  <c r="V137" i="16"/>
  <c r="Q138" i="16" l="1"/>
  <c r="O138" i="16"/>
  <c r="R139" i="16" l="1"/>
  <c r="S139" i="16" s="1"/>
  <c r="T139" i="16" s="1"/>
  <c r="P139" i="16" s="1"/>
  <c r="V138" i="16"/>
  <c r="Q139" i="16" l="1"/>
  <c r="O139" i="16"/>
  <c r="R140" i="16" l="1"/>
  <c r="S140" i="16" s="1"/>
  <c r="T140" i="16" s="1"/>
  <c r="P140" i="16" s="1"/>
  <c r="V139" i="16"/>
  <c r="Q140" i="16" l="1"/>
  <c r="O140" i="16"/>
  <c r="R141" i="16" l="1"/>
  <c r="S141" i="16" s="1"/>
  <c r="T141" i="16" s="1"/>
  <c r="V140" i="16"/>
  <c r="Q141" i="16" l="1"/>
  <c r="P141" i="16"/>
  <c r="O141" i="16"/>
  <c r="R142" i="16" l="1"/>
  <c r="S142" i="16" s="1"/>
  <c r="T142" i="16" s="1"/>
  <c r="O142" i="16" s="1"/>
  <c r="V141" i="16"/>
  <c r="R143" i="16" l="1"/>
  <c r="P142" i="16"/>
  <c r="Q142" i="16"/>
  <c r="S143" i="16" l="1"/>
  <c r="T143" i="16" s="1"/>
  <c r="O143" i="16" s="1"/>
  <c r="V142" i="16"/>
  <c r="Q143" i="16" l="1"/>
  <c r="V143" i="16" s="1"/>
  <c r="P143" i="16"/>
  <c r="R144" i="16"/>
  <c r="S144" i="16" l="1"/>
  <c r="T144" i="16" s="1"/>
  <c r="P144" i="16" s="1"/>
  <c r="Q144" i="16"/>
  <c r="O144" i="16"/>
  <c r="R145" i="16" l="1"/>
  <c r="S145" i="16" s="1"/>
  <c r="T145" i="16" s="1"/>
  <c r="O145" i="16" s="1"/>
  <c r="V144" i="16"/>
  <c r="R146" i="16" l="1"/>
  <c r="Q145" i="16"/>
  <c r="V145" i="16" s="1"/>
  <c r="P145" i="16"/>
  <c r="S146" i="16" s="1"/>
  <c r="T146" i="16" s="1"/>
  <c r="P146" i="16" s="1"/>
  <c r="Q146" i="16" l="1"/>
  <c r="O146" i="16"/>
  <c r="R147" i="16" l="1"/>
  <c r="S147" i="16" s="1"/>
  <c r="T147" i="16" s="1"/>
  <c r="P147" i="16" s="1"/>
  <c r="V146" i="16"/>
  <c r="Q147" i="16" l="1"/>
  <c r="O147" i="16"/>
  <c r="R148" i="16" l="1"/>
  <c r="S148" i="16" s="1"/>
  <c r="T148" i="16" s="1"/>
  <c r="V147" i="16"/>
  <c r="Q148" i="16" l="1"/>
  <c r="P148" i="16"/>
  <c r="O148" i="16"/>
  <c r="R149" i="16" l="1"/>
  <c r="S149" i="16" s="1"/>
  <c r="T149" i="16" s="1"/>
  <c r="Q149" i="16" s="1"/>
  <c r="V148" i="16"/>
  <c r="P149" i="16" l="1"/>
  <c r="O149" i="16"/>
  <c r="R150" i="16" l="1"/>
  <c r="S150" i="16" s="1"/>
  <c r="T150" i="16" s="1"/>
  <c r="V149" i="16"/>
  <c r="Q150" i="16" l="1"/>
  <c r="P150" i="16"/>
  <c r="O150" i="16"/>
  <c r="R151" i="16" l="1"/>
  <c r="V150" i="16"/>
  <c r="S151" i="16"/>
  <c r="T151" i="16" s="1"/>
  <c r="P151" i="16" s="1"/>
  <c r="Q151" i="16" l="1"/>
  <c r="O151" i="16"/>
  <c r="R152" i="16" l="1"/>
  <c r="S152" i="16" s="1"/>
  <c r="T152" i="16" s="1"/>
  <c r="P152" i="16" s="1"/>
  <c r="V151" i="16"/>
  <c r="O152" i="16" l="1"/>
  <c r="Q152" i="16"/>
  <c r="R153" i="16" l="1"/>
  <c r="S153" i="16" s="1"/>
  <c r="T153" i="16" s="1"/>
  <c r="P153" i="16" s="1"/>
  <c r="V152" i="16"/>
  <c r="O153" i="16" l="1"/>
  <c r="Q153" i="16"/>
  <c r="R154" i="16" l="1"/>
  <c r="S154" i="16" s="1"/>
  <c r="T154" i="16" s="1"/>
  <c r="P154" i="16" s="1"/>
  <c r="V153" i="16"/>
  <c r="Q154" i="16" l="1"/>
  <c r="O154" i="16"/>
  <c r="R155" i="16" l="1"/>
  <c r="S155" i="16" s="1"/>
  <c r="T155" i="16" s="1"/>
  <c r="P155" i="16" s="1"/>
  <c r="V154" i="16"/>
  <c r="O155" i="16" l="1"/>
  <c r="Q155" i="16"/>
  <c r="R156" i="16" l="1"/>
  <c r="S156" i="16" s="1"/>
  <c r="T156" i="16" s="1"/>
  <c r="P156" i="16" s="1"/>
  <c r="V155" i="16"/>
  <c r="O156" i="16" l="1"/>
  <c r="Q156" i="16"/>
  <c r="V156" i="16" l="1"/>
  <c r="R157" i="16"/>
  <c r="S157" i="16" l="1"/>
  <c r="T157" i="16" s="1"/>
  <c r="P157" i="16" l="1"/>
  <c r="Q157" i="16"/>
  <c r="O157" i="16"/>
  <c r="V157" i="16" l="1"/>
  <c r="R158" i="16"/>
  <c r="S158" i="16"/>
  <c r="T158" i="16" s="1"/>
  <c r="Q158" i="16" s="1"/>
  <c r="P158" i="16" l="1"/>
  <c r="O158" i="16"/>
  <c r="R159" i="16" l="1"/>
  <c r="S159" i="16" s="1"/>
  <c r="T159" i="16" s="1"/>
  <c r="Q159" i="16" s="1"/>
  <c r="V158" i="16"/>
  <c r="P159" i="16" l="1"/>
  <c r="O159" i="16"/>
  <c r="R160" i="16" l="1"/>
  <c r="S160" i="16" s="1"/>
  <c r="T160" i="16" s="1"/>
  <c r="V159" i="16"/>
  <c r="P160" i="16" l="1"/>
  <c r="Q160" i="16"/>
  <c r="O160" i="16"/>
  <c r="R161" i="16" l="1"/>
  <c r="S161" i="16" s="1"/>
  <c r="T161" i="16" s="1"/>
  <c r="P161" i="16" s="1"/>
  <c r="V160" i="16"/>
  <c r="Q161" i="16" l="1"/>
  <c r="O161" i="16"/>
  <c r="V161" i="16" l="1"/>
  <c r="R162" i="16"/>
  <c r="S162" i="16" s="1"/>
  <c r="T162" i="16" s="1"/>
  <c r="Q162" i="16" l="1"/>
  <c r="P162" i="16"/>
  <c r="O162" i="16"/>
  <c r="R163" i="16" l="1"/>
  <c r="S163" i="16" s="1"/>
  <c r="T163" i="16" s="1"/>
  <c r="P163" i="16" s="1"/>
  <c r="V162" i="16"/>
  <c r="Q163" i="16" l="1"/>
  <c r="O163" i="16"/>
  <c r="R164" i="16" l="1"/>
  <c r="S164" i="16" s="1"/>
  <c r="T164" i="16" s="1"/>
  <c r="O164" i="16" s="1"/>
  <c r="V163" i="16"/>
  <c r="R165" i="16" l="1"/>
  <c r="Q164" i="16"/>
  <c r="P164" i="16"/>
  <c r="S165" i="16" l="1"/>
  <c r="T165" i="16" s="1"/>
  <c r="O165" i="16" s="1"/>
  <c r="V164" i="16"/>
  <c r="P165" i="16" l="1"/>
  <c r="R166" i="16"/>
  <c r="Q165" i="16"/>
  <c r="S166" i="16" l="1"/>
  <c r="T166" i="16" s="1"/>
  <c r="O166" i="16" s="1"/>
  <c r="V165" i="16"/>
  <c r="R167" i="16" l="1"/>
  <c r="Q166" i="16"/>
  <c r="P166" i="16"/>
  <c r="S167" i="16" l="1"/>
  <c r="T167" i="16" s="1"/>
  <c r="O167" i="16" s="1"/>
  <c r="V166" i="16"/>
  <c r="P167" i="16" l="1"/>
  <c r="R168" i="16"/>
  <c r="Q167" i="16"/>
  <c r="V167" i="16" s="1"/>
  <c r="S168" i="16" l="1"/>
  <c r="T168" i="16" s="1"/>
  <c r="O168" i="16" s="1"/>
  <c r="R169" i="16" l="1"/>
  <c r="Q168" i="16"/>
  <c r="V168" i="16" s="1"/>
  <c r="P168" i="16"/>
  <c r="S169" i="16" l="1"/>
  <c r="T169" i="16" s="1"/>
  <c r="O169" i="16" s="1"/>
  <c r="R170" i="16" s="1"/>
  <c r="Q169" i="16" l="1"/>
  <c r="P169" i="16"/>
  <c r="S170" i="16"/>
  <c r="T170" i="16" s="1"/>
  <c r="O170" i="16" s="1"/>
  <c r="V169" i="16"/>
  <c r="Q170" i="16" l="1"/>
  <c r="P170" i="16"/>
  <c r="R171" i="16"/>
  <c r="V170" i="16"/>
  <c r="S171" i="16" l="1"/>
  <c r="T171" i="16" s="1"/>
  <c r="O171" i="16" s="1"/>
  <c r="P171" i="16" l="1"/>
  <c r="R172" i="16"/>
  <c r="Q171" i="16"/>
  <c r="V171" i="16" s="1"/>
  <c r="S172" i="16" l="1"/>
  <c r="T172" i="16" s="1"/>
  <c r="P172" i="16" l="1"/>
  <c r="O172" i="16"/>
  <c r="Q172" i="16"/>
  <c r="R173" i="16" l="1"/>
  <c r="S173" i="16" s="1"/>
  <c r="T173" i="16" s="1"/>
  <c r="O173" i="16" s="1"/>
  <c r="V172" i="16"/>
  <c r="R174" i="16" l="1"/>
  <c r="P173" i="16"/>
  <c r="Q173" i="16"/>
  <c r="V173" i="16" l="1"/>
  <c r="S174" i="16"/>
  <c r="T174" i="16" s="1"/>
  <c r="O174" i="16" s="1"/>
  <c r="Q174" i="16" l="1"/>
  <c r="V174" i="16" s="1"/>
  <c r="R175" i="16"/>
  <c r="P174" i="16"/>
  <c r="S175" i="16" l="1"/>
  <c r="T175" i="16" s="1"/>
  <c r="Q175" i="16" l="1"/>
  <c r="O175" i="16"/>
  <c r="P175" i="16"/>
  <c r="R176" i="16" l="1"/>
  <c r="S176" i="16" s="1"/>
  <c r="T176" i="16" s="1"/>
  <c r="P176" i="16" s="1"/>
  <c r="V175" i="16"/>
  <c r="Q176" i="16" l="1"/>
  <c r="O176" i="16"/>
  <c r="V176" i="16" l="1"/>
  <c r="R177" i="16"/>
  <c r="S177" i="16" s="1"/>
  <c r="T177" i="16" s="1"/>
  <c r="P177" i="16" s="1"/>
  <c r="Q177" i="16" l="1"/>
  <c r="O177" i="16"/>
  <c r="V177" i="16" l="1"/>
  <c r="R178" i="16"/>
  <c r="S178" i="16" s="1"/>
  <c r="T178" i="16" s="1"/>
  <c r="P178" i="16" s="1"/>
  <c r="Q178" i="16" l="1"/>
  <c r="O178" i="16"/>
  <c r="R179" i="16" l="1"/>
  <c r="S179" i="16" s="1"/>
  <c r="T179" i="16" s="1"/>
  <c r="P179" i="16" s="1"/>
  <c r="V178" i="16"/>
  <c r="Q179" i="16" l="1"/>
  <c r="O179" i="16"/>
  <c r="R180" i="16" l="1"/>
  <c r="S180" i="16" s="1"/>
  <c r="T180" i="16" s="1"/>
  <c r="Q180" i="16" s="1"/>
  <c r="V179" i="16"/>
  <c r="O180" i="16" l="1"/>
  <c r="V180" i="16" s="1"/>
  <c r="P180" i="16"/>
  <c r="R181" i="16" l="1"/>
  <c r="S181" i="16" s="1"/>
  <c r="T181" i="16" s="1"/>
  <c r="Q181" i="16" s="1"/>
  <c r="O181" i="16" l="1"/>
  <c r="P181" i="16"/>
  <c r="R182" i="16" l="1"/>
  <c r="S182" i="16" s="1"/>
  <c r="T182" i="16" s="1"/>
  <c r="V181" i="16"/>
  <c r="Q182" i="16" l="1"/>
  <c r="P182" i="16"/>
  <c r="O182" i="16"/>
  <c r="V182" i="16" l="1"/>
  <c r="R183" i="16"/>
  <c r="S183" i="16" s="1"/>
  <c r="T183" i="16" s="1"/>
  <c r="O183" i="16" s="1"/>
  <c r="R184" i="16" l="1"/>
  <c r="P183" i="16"/>
  <c r="Q183" i="16"/>
  <c r="V183" i="16" l="1"/>
  <c r="S184" i="16"/>
  <c r="T184" i="16" s="1"/>
  <c r="O184" i="16" s="1"/>
  <c r="R185" i="16" l="1"/>
  <c r="P184" i="16"/>
  <c r="Q184" i="16"/>
  <c r="S185" i="16" l="1"/>
  <c r="T185" i="16" s="1"/>
  <c r="O185" i="16" s="1"/>
  <c r="R186" i="16" s="1"/>
  <c r="V184" i="16"/>
  <c r="P185" i="16" l="1"/>
  <c r="S186" i="16" s="1"/>
  <c r="T186" i="16" s="1"/>
  <c r="O186" i="16" s="1"/>
  <c r="Q185" i="16"/>
  <c r="V185" i="16" s="1"/>
  <c r="P186" i="16" l="1"/>
  <c r="R187" i="16"/>
  <c r="Q186" i="16"/>
  <c r="S187" i="16" l="1"/>
  <c r="T187" i="16" s="1"/>
  <c r="P187" i="16" s="1"/>
  <c r="V186" i="16"/>
  <c r="O187" i="16" l="1"/>
  <c r="Q187" i="16"/>
  <c r="R188" i="16"/>
  <c r="S188" i="16" s="1"/>
  <c r="T188" i="16" s="1"/>
  <c r="P188" i="16" s="1"/>
  <c r="V187" i="16"/>
  <c r="O188" i="16" l="1"/>
  <c r="Q188" i="16"/>
  <c r="R189" i="16"/>
  <c r="S189" i="16" s="1"/>
  <c r="T189" i="16" s="1"/>
  <c r="P189" i="16" s="1"/>
  <c r="V188" i="16" l="1"/>
  <c r="Q189" i="16"/>
  <c r="O189" i="16"/>
  <c r="V189" i="16" l="1"/>
  <c r="R190" i="16"/>
  <c r="S190" i="16" s="1"/>
  <c r="T190" i="16" s="1"/>
  <c r="P190" i="16" s="1"/>
  <c r="Q190" i="16" l="1"/>
  <c r="O190" i="16"/>
  <c r="R191" i="16"/>
  <c r="S191" i="16" s="1"/>
  <c r="T191" i="16" s="1"/>
  <c r="P191" i="16" s="1"/>
  <c r="V190" i="16"/>
  <c r="Q191" i="16" l="1"/>
  <c r="O191" i="16"/>
  <c r="R192" i="16" l="1"/>
  <c r="S192" i="16" s="1"/>
  <c r="T192" i="16" s="1"/>
  <c r="P192" i="16" s="1"/>
  <c r="V191" i="16"/>
  <c r="O192" i="16" l="1"/>
  <c r="R193" i="16"/>
  <c r="S193" i="16" s="1"/>
  <c r="T193" i="16" s="1"/>
  <c r="P193" i="16" s="1"/>
  <c r="Q192" i="16"/>
  <c r="Q193" i="16" l="1"/>
  <c r="O193" i="16"/>
  <c r="R194" i="16" s="1"/>
  <c r="S194" i="16" s="1"/>
  <c r="T194" i="16" s="1"/>
  <c r="P194" i="16" s="1"/>
  <c r="V192" i="16"/>
  <c r="V193" i="16" l="1"/>
  <c r="Q194" i="16"/>
  <c r="O194" i="16"/>
  <c r="R195" i="16" l="1"/>
  <c r="S195" i="16" s="1"/>
  <c r="T195" i="16" s="1"/>
  <c r="P195" i="16" s="1"/>
  <c r="V194" i="16"/>
  <c r="Q195" i="16" l="1"/>
  <c r="O195" i="16"/>
  <c r="R196" i="16" l="1"/>
  <c r="S196" i="16" s="1"/>
  <c r="T196" i="16" s="1"/>
  <c r="P196" i="16" s="1"/>
  <c r="V195" i="16"/>
  <c r="Q196" i="16" l="1"/>
  <c r="O196" i="16"/>
  <c r="R197" i="16"/>
  <c r="S197" i="16" s="1"/>
  <c r="T197" i="16" s="1"/>
  <c r="O197" i="16" s="1"/>
  <c r="V196" i="16"/>
  <c r="Q197" i="16" l="1"/>
  <c r="V197" i="16" s="1"/>
  <c r="R198" i="16"/>
  <c r="P197" i="16"/>
  <c r="S198" i="16" l="1"/>
  <c r="T198" i="16" s="1"/>
  <c r="P198" i="16" s="1"/>
  <c r="Q198" i="16" l="1"/>
  <c r="O198" i="16"/>
  <c r="V198" i="16" l="1"/>
  <c r="R199" i="16"/>
  <c r="S199" i="16" s="1"/>
  <c r="T199" i="16" s="1"/>
  <c r="O199" i="16" l="1"/>
  <c r="P199" i="16"/>
  <c r="Q199" i="16"/>
  <c r="V199" i="16" l="1"/>
  <c r="R200" i="16"/>
  <c r="S200" i="16" s="1"/>
  <c r="T200" i="16" s="1"/>
  <c r="P200" i="16" l="1"/>
  <c r="O200" i="16"/>
  <c r="Q200" i="16"/>
  <c r="R201" i="16" l="1"/>
  <c r="S201" i="16" s="1"/>
  <c r="T201" i="16" s="1"/>
  <c r="O201" i="16" s="1"/>
  <c r="V200" i="16"/>
  <c r="R202" i="16" l="1"/>
  <c r="Q201" i="16"/>
  <c r="P201" i="16"/>
  <c r="S202" i="16" l="1"/>
  <c r="T202" i="16" s="1"/>
  <c r="O202" i="16" s="1"/>
  <c r="V201" i="16"/>
  <c r="R203" i="16" l="1"/>
  <c r="Q202" i="16"/>
  <c r="P202" i="16"/>
  <c r="S203" i="16" l="1"/>
  <c r="T203" i="16" s="1"/>
  <c r="O203" i="16" s="1"/>
  <c r="V202" i="16"/>
  <c r="P203" i="16" l="1"/>
  <c r="R204" i="16"/>
  <c r="S204" i="16" s="1"/>
  <c r="T204" i="16" s="1"/>
  <c r="O204" i="16" s="1"/>
  <c r="Q203" i="16"/>
  <c r="Q204" i="16" l="1"/>
  <c r="V204" i="16" s="1"/>
  <c r="P204" i="16"/>
  <c r="R205" i="16"/>
  <c r="V203" i="16"/>
  <c r="S205" i="16" l="1"/>
  <c r="T205" i="16" s="1"/>
  <c r="O205" i="16" s="1"/>
  <c r="R206" i="16" s="1"/>
  <c r="Q205" i="16"/>
  <c r="P205" i="16"/>
  <c r="S206" i="16" l="1"/>
  <c r="T206" i="16" s="1"/>
  <c r="P206" i="16" s="1"/>
  <c r="Q206" i="16"/>
  <c r="V205" i="16"/>
  <c r="O206" i="16" l="1"/>
  <c r="R207" i="16"/>
  <c r="S207" i="16" s="1"/>
  <c r="T207" i="16" s="1"/>
  <c r="V206" i="16"/>
  <c r="O207" i="16" l="1"/>
  <c r="P207" i="16"/>
  <c r="Q207" i="16"/>
  <c r="V207" i="16" l="1"/>
  <c r="R208" i="16"/>
  <c r="S208" i="16" s="1"/>
  <c r="T208" i="16" s="1"/>
  <c r="Q208" i="16" l="1"/>
  <c r="P208" i="16"/>
  <c r="O208" i="16"/>
  <c r="R209" i="16" l="1"/>
  <c r="V208" i="16"/>
  <c r="S209" i="16"/>
  <c r="T209" i="16" s="1"/>
  <c r="Q209" i="16" l="1"/>
  <c r="O209" i="16"/>
  <c r="P209" i="16"/>
  <c r="R210" i="16" l="1"/>
  <c r="S210" i="16" s="1"/>
  <c r="T210" i="16" s="1"/>
  <c r="V209" i="16"/>
  <c r="P210" i="16" l="1"/>
  <c r="O210" i="16"/>
  <c r="Q210" i="16"/>
  <c r="R211" i="16" l="1"/>
  <c r="S211" i="16" s="1"/>
  <c r="T211" i="16" s="1"/>
  <c r="V210" i="16"/>
  <c r="P211" i="16" l="1"/>
  <c r="Q211" i="16"/>
  <c r="O211" i="16"/>
  <c r="R212" i="16" l="1"/>
  <c r="S212" i="16" s="1"/>
  <c r="T212" i="16" s="1"/>
  <c r="V211" i="16"/>
  <c r="Q212" i="16" l="1"/>
  <c r="P212" i="16"/>
  <c r="O212" i="16"/>
  <c r="V212" i="16" l="1"/>
  <c r="R213" i="16"/>
  <c r="S213" i="16" s="1"/>
  <c r="T213" i="16" s="1"/>
  <c r="Q213" i="16" l="1"/>
  <c r="O213" i="16"/>
  <c r="P213" i="16"/>
  <c r="R214" i="16" l="1"/>
  <c r="S214" i="16" s="1"/>
  <c r="T214" i="16" s="1"/>
  <c r="V213" i="16"/>
  <c r="Q214" i="16" l="1"/>
  <c r="O214" i="16"/>
  <c r="P214" i="16"/>
  <c r="V214" i="16" l="1"/>
  <c r="R215" i="16"/>
  <c r="S215" i="16" s="1"/>
  <c r="T215" i="16" s="1"/>
  <c r="Q215" i="16" l="1"/>
  <c r="P215" i="16"/>
  <c r="O215" i="16"/>
  <c r="R216" i="16" l="1"/>
  <c r="S216" i="16" s="1"/>
  <c r="T216" i="16" s="1"/>
  <c r="V215" i="16"/>
  <c r="P216" i="16" l="1"/>
  <c r="Q216" i="16"/>
  <c r="O216" i="16"/>
  <c r="V216" i="16" l="1"/>
  <c r="R217" i="16"/>
  <c r="S217" i="16" s="1"/>
  <c r="T217" i="16" s="1"/>
  <c r="Q217" i="16" l="1"/>
  <c r="P217" i="16"/>
  <c r="O217" i="16"/>
  <c r="R218" i="16" l="1"/>
  <c r="S218" i="16" s="1"/>
  <c r="T218" i="16" s="1"/>
  <c r="V217" i="16"/>
  <c r="P218" i="16" l="1"/>
  <c r="O218" i="16"/>
  <c r="Q218" i="16"/>
  <c r="V218" i="16" l="1"/>
  <c r="R219" i="16"/>
  <c r="S219" i="16" s="1"/>
  <c r="T219" i="16" s="1"/>
  <c r="O219" i="16" l="1"/>
  <c r="Q219" i="16"/>
  <c r="P219" i="16"/>
  <c r="R220" i="16" l="1"/>
  <c r="S220" i="16" s="1"/>
  <c r="T220" i="16" s="1"/>
  <c r="V219" i="16"/>
  <c r="P220" i="16" l="1"/>
  <c r="Q220" i="16"/>
  <c r="O220" i="16"/>
  <c r="V220" i="16" l="1"/>
  <c r="R221" i="16"/>
  <c r="S221" i="16" s="1"/>
  <c r="T221" i="16" s="1"/>
  <c r="Q221" i="16" s="1"/>
  <c r="P221" i="16" l="1"/>
  <c r="O221" i="16"/>
  <c r="R222" i="16" l="1"/>
  <c r="V221" i="16"/>
  <c r="S222" i="16"/>
  <c r="T222" i="16" s="1"/>
  <c r="P222" i="16" s="1"/>
  <c r="O222" i="16" l="1"/>
  <c r="Q222" i="16"/>
  <c r="V222" i="16" l="1"/>
  <c r="R223" i="16"/>
  <c r="S223" i="16" s="1"/>
  <c r="T223" i="16" s="1"/>
  <c r="P223" i="16" s="1"/>
  <c r="O223" i="16" l="1"/>
  <c r="Q223" i="16"/>
  <c r="V223" i="16" l="1"/>
  <c r="R224" i="16"/>
  <c r="S224" i="16" s="1"/>
  <c r="T224" i="16" s="1"/>
  <c r="P224" i="16" s="1"/>
  <c r="O224" i="16" l="1"/>
  <c r="Q224" i="16"/>
  <c r="V224" i="16" l="1"/>
  <c r="R225" i="16"/>
  <c r="S225" i="16" s="1"/>
  <c r="T225" i="16" s="1"/>
  <c r="P225" i="16" s="1"/>
  <c r="O225" i="16" l="1"/>
  <c r="Q225" i="16"/>
  <c r="R226" i="16" l="1"/>
  <c r="S226" i="16" s="1"/>
  <c r="T226" i="16" s="1"/>
  <c r="P226" i="16" s="1"/>
  <c r="V225" i="16"/>
  <c r="O226" i="16" l="1"/>
  <c r="Q226" i="16"/>
  <c r="R227" i="16" l="1"/>
  <c r="S227" i="16" s="1"/>
  <c r="T227" i="16" s="1"/>
  <c r="P227" i="16" s="1"/>
  <c r="V226" i="16"/>
  <c r="O227" i="16" l="1"/>
  <c r="Q227" i="16"/>
  <c r="R228" i="16" l="1"/>
  <c r="S228" i="16" s="1"/>
  <c r="T228" i="16" s="1"/>
  <c r="P228" i="16" s="1"/>
  <c r="V227" i="16"/>
  <c r="O228" i="16" l="1"/>
  <c r="Q228" i="16"/>
  <c r="R229" i="16" l="1"/>
  <c r="S229" i="16" s="1"/>
  <c r="T229" i="16" s="1"/>
  <c r="O229" i="16" s="1"/>
  <c r="V228" i="16"/>
  <c r="R230" i="16" l="1"/>
  <c r="Q229" i="16"/>
  <c r="V229" i="16" s="1"/>
  <c r="P229" i="16"/>
  <c r="S230" i="16" l="1"/>
  <c r="T230" i="16" s="1"/>
  <c r="Q230" i="16" l="1"/>
  <c r="O230" i="16"/>
  <c r="P230" i="16"/>
  <c r="R231" i="16" l="1"/>
  <c r="S231" i="16" s="1"/>
  <c r="T231" i="16" s="1"/>
  <c r="V230" i="16"/>
  <c r="Q231" i="16" l="1"/>
  <c r="P231" i="16"/>
  <c r="O231" i="16"/>
  <c r="R232" i="16" l="1"/>
  <c r="V231" i="16"/>
  <c r="S232" i="16"/>
  <c r="T232" i="16" s="1"/>
  <c r="Q232" i="16" s="1"/>
  <c r="P232" i="16" l="1"/>
  <c r="O232" i="16"/>
  <c r="V232" i="16" l="1"/>
  <c r="R233" i="16"/>
  <c r="S233" i="16" s="1"/>
  <c r="T233" i="16" s="1"/>
  <c r="Q233" i="16" s="1"/>
  <c r="P233" i="16" l="1"/>
  <c r="O233" i="16"/>
  <c r="R234" i="16" l="1"/>
  <c r="S234" i="16" s="1"/>
  <c r="T234" i="16" s="1"/>
  <c r="Q234" i="16" s="1"/>
  <c r="V233" i="16"/>
  <c r="P234" i="16"/>
  <c r="O234" i="16" l="1"/>
  <c r="V234" i="16"/>
</calcChain>
</file>

<file path=xl/sharedStrings.xml><?xml version="1.0" encoding="utf-8"?>
<sst xmlns="http://schemas.openxmlformats.org/spreadsheetml/2006/main" count="55" uniqueCount="54">
  <si>
    <t>data points =</t>
  </si>
  <si>
    <t xml:space="preserve"> </t>
  </si>
  <si>
    <t>Adj. Close*</t>
  </si>
  <si>
    <t>Date</t>
  </si>
  <si>
    <t>Open</t>
  </si>
  <si>
    <t>High</t>
  </si>
  <si>
    <t>Low</t>
  </si>
  <si>
    <t>Close</t>
  </si>
  <si>
    <t>Volume</t>
  </si>
  <si>
    <t>Minimum</t>
  </si>
  <si>
    <t>Maximum</t>
  </si>
  <si>
    <t>Index</t>
  </si>
  <si>
    <t>Returns</t>
  </si>
  <si>
    <t>Volume/1000</t>
  </si>
  <si>
    <t>Stock Symbol:</t>
  </si>
  <si>
    <t>Chart Min =</t>
  </si>
  <si>
    <t>Chart Max =</t>
  </si>
  <si>
    <t>Annualized Return =</t>
  </si>
  <si>
    <t>Start Date:</t>
  </si>
  <si>
    <t>End Date:</t>
  </si>
  <si>
    <t>SD =</t>
  </si>
  <si>
    <t>Mean =</t>
  </si>
  <si>
    <t>Buy</t>
  </si>
  <si>
    <t>m</t>
  </si>
  <si>
    <t>Cash</t>
  </si>
  <si>
    <t>a =</t>
  </si>
  <si>
    <t>b =</t>
  </si>
  <si>
    <t>Cash Interest =</t>
  </si>
  <si>
    <t>per year</t>
  </si>
  <si>
    <t>Control</t>
  </si>
  <si>
    <t>Price</t>
  </si>
  <si>
    <t>SV</t>
  </si>
  <si>
    <t>PC</t>
  </si>
  <si>
    <t>Stock</t>
  </si>
  <si>
    <t>Value</t>
  </si>
  <si>
    <t>Advice</t>
  </si>
  <si>
    <t>Portfolio</t>
  </si>
  <si>
    <t>Units</t>
  </si>
  <si>
    <t>(Sell)</t>
  </si>
  <si>
    <t>Int =</t>
  </si>
  <si>
    <t>AIM</t>
  </si>
  <si>
    <t>Buy&amp;Hold</t>
  </si>
  <si>
    <r>
      <t>M</t>
    </r>
    <r>
      <rPr>
        <sz val="10"/>
        <rFont val="Arial"/>
        <family val="2"/>
      </rPr>
      <t>inimum</t>
    </r>
    <r>
      <rPr>
        <b/>
        <sz val="10"/>
        <rFont val="Arial"/>
        <family val="2"/>
      </rPr>
      <t xml:space="preserve"> D</t>
    </r>
    <r>
      <rPr>
        <sz val="10"/>
        <rFont val="Arial"/>
        <family val="2"/>
      </rPr>
      <t>ollar</t>
    </r>
    <r>
      <rPr>
        <b/>
        <sz val="10"/>
        <rFont val="Arial"/>
        <family val="2"/>
      </rPr>
      <t xml:space="preserve"> T</t>
    </r>
    <r>
      <rPr>
        <sz val="10"/>
        <rFont val="Arial"/>
        <family val="2"/>
      </rPr>
      <t>ransaction</t>
    </r>
    <r>
      <rPr>
        <b/>
        <sz val="10"/>
        <rFont val="Arial"/>
        <family val="2"/>
      </rPr>
      <t xml:space="preserve"> =</t>
    </r>
  </si>
  <si>
    <t>x&gt;0 =&gt; Buy?</t>
  </si>
  <si>
    <t>x&lt;0 =&gt;  Sell?</t>
  </si>
  <si>
    <r>
      <t>Buy/</t>
    </r>
    <r>
      <rPr>
        <sz val="8"/>
        <color indexed="10"/>
        <rFont val="Arial"/>
        <family val="2"/>
      </rPr>
      <t>Sell</t>
    </r>
  </si>
  <si>
    <t>X = PC - SV</t>
  </si>
  <si>
    <r>
      <t xml:space="preserve">Y = |X| - </t>
    </r>
    <r>
      <rPr>
        <b/>
        <sz val="8"/>
        <color indexed="12"/>
        <rFont val="Arial"/>
        <family val="2"/>
      </rPr>
      <t>a</t>
    </r>
    <r>
      <rPr>
        <b/>
        <sz val="10"/>
        <rFont val="Arial"/>
        <family val="2"/>
      </rPr>
      <t>*</t>
    </r>
    <r>
      <rPr>
        <b/>
        <sz val="8"/>
        <rFont val="Arial"/>
        <family val="2"/>
      </rPr>
      <t>SV</t>
    </r>
  </si>
  <si>
    <t>Min Cash</t>
  </si>
  <si>
    <t>GM</t>
  </si>
  <si>
    <t xml:space="preserve">        Annualized Returns</t>
  </si>
  <si>
    <t>http://www.gummy-stuff.org/AIM.htm</t>
  </si>
  <si>
    <r>
      <t>See</t>
    </r>
    <r>
      <rPr>
        <b/>
        <sz val="10"/>
        <rFont val="Arial"/>
        <family val="2"/>
      </rPr>
      <t>:</t>
    </r>
  </si>
  <si>
    <t>Time 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</si>
</sst>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5" formatCode="&quot;$&quot;#,##0_);\(&quot;$&quot;#,##0\)"/>
    <numFmt numFmtId="167" formatCode="_-* #,##0.00_-;\-* #,##0.00_-;_-* &quot;-&quot;??_-;_-@_-"/>
    <numFmt numFmtId="168" formatCode="mmm\ d/yy"/>
    <numFmt numFmtId="169" formatCode="0,000"/>
    <numFmt numFmtId="170" formatCode="0.0%"/>
    <numFmt numFmtId="171" formatCode="&quot;$&quot;#,##0"/>
    <numFmt numFmtId="172" formatCode="&quot;$&quot;#,##0.00"/>
    <numFmt numFmtId="173" formatCode="&quot;$&quot;#,##0;[Red]&quot;$&quot;#,##0"/>
    <numFmt numFmtId="174" formatCode="yyyy\-mm\-dd\ hh:mm:ss"/>
  </numFmts>
  <fonts count="21" x14ac:knownFonts="1">
    <font>
      <sz val="10"/>
      <name val="Arial"/>
    </font>
    <font>
      <sz val="10"/>
      <name val="Arial"/>
    </font>
    <font>
      <sz val="8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6"/>
      <name val="Arial"/>
      <family val="2"/>
    </font>
    <font>
      <sz val="7"/>
      <name val="Arial"/>
      <family val="2"/>
    </font>
    <font>
      <b/>
      <sz val="6"/>
      <name val="Arial"/>
      <family val="2"/>
    </font>
    <font>
      <b/>
      <sz val="18"/>
      <name val="Arial"/>
    </font>
    <font>
      <b/>
      <sz val="12"/>
      <name val="Arial"/>
    </font>
    <font>
      <b/>
      <sz val="9"/>
      <name val="Arial"/>
      <family val="2"/>
    </font>
    <font>
      <sz val="8"/>
      <color indexed="10"/>
      <name val="Arial"/>
      <family val="2"/>
    </font>
    <font>
      <b/>
      <sz val="10"/>
      <color indexed="12"/>
      <name val="Arial"/>
      <family val="2"/>
    </font>
    <font>
      <b/>
      <sz val="10"/>
      <color indexed="14"/>
      <name val="Arial"/>
      <family val="2"/>
    </font>
    <font>
      <sz val="10"/>
      <name val="Arial"/>
      <family val="2"/>
    </font>
    <font>
      <sz val="8"/>
      <color indexed="8"/>
      <name val="Arial"/>
      <family val="2"/>
    </font>
    <font>
      <b/>
      <sz val="7"/>
      <name val="Arial"/>
      <family val="2"/>
    </font>
    <font>
      <b/>
      <sz val="8"/>
      <color indexed="12"/>
      <name val="Arial"/>
      <family val="2"/>
    </font>
    <font>
      <b/>
      <sz val="10"/>
      <color indexed="10"/>
      <name val="Arial"/>
      <family val="2"/>
    </font>
    <font>
      <b/>
      <u/>
      <sz val="10"/>
      <name val="Arial"/>
      <family val="2"/>
    </font>
    <font>
      <sz val="8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EBF3FB"/>
      </patternFill>
    </fill>
  </fills>
  <borders count="40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double">
        <color indexed="8"/>
      </top>
      <bottom/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 style="thick">
        <color indexed="10"/>
      </left>
      <right/>
      <top style="thick">
        <color indexed="10"/>
      </top>
      <bottom style="thick">
        <color indexed="10"/>
      </bottom>
      <diagonal/>
    </border>
    <border>
      <left/>
      <right/>
      <top style="thick">
        <color indexed="10"/>
      </top>
      <bottom style="thick">
        <color indexed="10"/>
      </bottom>
      <diagonal/>
    </border>
    <border>
      <left/>
      <right style="thick">
        <color indexed="10"/>
      </right>
      <top style="thick">
        <color indexed="10"/>
      </top>
      <bottom style="thick">
        <color indexed="10"/>
      </bottom>
      <diagonal/>
    </border>
    <border>
      <left/>
      <right style="thin">
        <color indexed="22"/>
      </right>
      <top style="thin">
        <color indexed="22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 style="thin">
        <color indexed="22"/>
      </left>
      <right/>
      <top/>
      <bottom style="thin">
        <color indexed="22"/>
      </bottom>
      <diagonal/>
    </border>
    <border>
      <left/>
      <right/>
      <top/>
      <bottom style="thick">
        <color indexed="10"/>
      </bottom>
      <diagonal/>
    </border>
    <border>
      <left style="medium">
        <color indexed="12"/>
      </left>
      <right style="thin">
        <color indexed="22"/>
      </right>
      <top style="medium">
        <color indexed="1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medium">
        <color indexed="12"/>
      </top>
      <bottom style="thin">
        <color indexed="22"/>
      </bottom>
      <diagonal/>
    </border>
    <border>
      <left style="thin">
        <color indexed="22"/>
      </left>
      <right style="medium">
        <color indexed="12"/>
      </right>
      <top style="medium">
        <color indexed="12"/>
      </top>
      <bottom style="thin">
        <color indexed="22"/>
      </bottom>
      <diagonal/>
    </border>
    <border>
      <left style="thick">
        <color indexed="10"/>
      </left>
      <right style="thin">
        <color indexed="22"/>
      </right>
      <top style="thin">
        <color indexed="22"/>
      </top>
      <bottom/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 style="thick">
        <color indexed="10"/>
      </left>
      <right style="thick">
        <color indexed="10"/>
      </right>
      <top style="thick">
        <color indexed="10"/>
      </top>
      <bottom style="thick">
        <color indexed="10"/>
      </bottom>
      <diagonal/>
    </border>
    <border>
      <left style="medium">
        <color indexed="12"/>
      </left>
      <right style="thin">
        <color indexed="22"/>
      </right>
      <top style="thin">
        <color indexed="22"/>
      </top>
      <bottom style="medium">
        <color indexed="1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medium">
        <color indexed="12"/>
      </bottom>
      <diagonal/>
    </border>
    <border>
      <left style="thin">
        <color indexed="22"/>
      </left>
      <right style="medium">
        <color indexed="12"/>
      </right>
      <top style="thin">
        <color indexed="22"/>
      </top>
      <bottom style="medium">
        <color indexed="12"/>
      </bottom>
      <diagonal/>
    </border>
    <border>
      <left/>
      <right style="thin">
        <color indexed="22"/>
      </right>
      <top/>
      <bottom style="thin">
        <color indexed="22"/>
      </bottom>
      <diagonal/>
    </border>
    <border>
      <left style="medium">
        <color indexed="23"/>
      </left>
      <right style="medium">
        <color indexed="23"/>
      </right>
      <top style="medium">
        <color indexed="23"/>
      </top>
      <bottom style="thin">
        <color indexed="22"/>
      </bottom>
      <diagonal/>
    </border>
    <border>
      <left style="thin">
        <color indexed="22"/>
      </left>
      <right/>
      <top style="thin">
        <color indexed="22"/>
      </top>
      <bottom/>
      <diagonal/>
    </border>
    <border>
      <left style="medium">
        <color indexed="23"/>
      </left>
      <right style="medium">
        <color indexed="23"/>
      </right>
      <top/>
      <bottom style="medium">
        <color indexed="23"/>
      </bottom>
      <diagonal/>
    </border>
    <border>
      <left style="thin">
        <color indexed="22"/>
      </left>
      <right/>
      <top/>
      <bottom/>
      <diagonal/>
    </border>
    <border>
      <left style="thin">
        <color indexed="22"/>
      </left>
      <right/>
      <top style="thick">
        <color indexed="10"/>
      </top>
      <bottom/>
      <diagonal/>
    </border>
    <border>
      <left/>
      <right/>
      <top style="thin">
        <color indexed="22"/>
      </top>
      <bottom/>
      <diagonal/>
    </border>
    <border>
      <left/>
      <right style="thin">
        <color indexed="22"/>
      </right>
      <top/>
      <bottom/>
      <diagonal/>
    </border>
    <border>
      <left style="thin">
        <color indexed="22"/>
      </left>
      <right style="thin">
        <color indexed="22"/>
      </right>
      <top/>
      <bottom/>
      <diagonal/>
    </border>
    <border>
      <left style="medium">
        <color indexed="22"/>
      </left>
      <right style="medium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22"/>
      </left>
      <right style="medium">
        <color indexed="22"/>
      </right>
      <top style="thin">
        <color indexed="22"/>
      </top>
      <bottom style="medium">
        <color indexed="22"/>
      </bottom>
      <diagonal/>
    </border>
    <border>
      <left/>
      <right style="medium">
        <color indexed="22"/>
      </right>
      <top style="medium">
        <color indexed="22"/>
      </top>
      <bottom style="thin">
        <color indexed="22"/>
      </bottom>
      <diagonal/>
    </border>
    <border>
      <left style="medium">
        <color indexed="12"/>
      </left>
      <right style="medium">
        <color indexed="12"/>
      </right>
      <top style="medium">
        <color indexed="12"/>
      </top>
      <bottom style="medium">
        <color indexed="12"/>
      </bottom>
      <diagonal/>
    </border>
    <border>
      <left style="thin">
        <color indexed="22"/>
      </left>
      <right style="medium">
        <color indexed="12"/>
      </right>
      <top style="medium">
        <color indexed="12"/>
      </top>
      <bottom style="medium">
        <color indexed="12"/>
      </bottom>
      <diagonal/>
    </border>
    <border>
      <left style="medium">
        <color indexed="18"/>
      </left>
      <right style="thin">
        <color indexed="22"/>
      </right>
      <top style="medium">
        <color indexed="18"/>
      </top>
      <bottom/>
      <diagonal/>
    </border>
    <border>
      <left style="thin">
        <color indexed="22"/>
      </left>
      <right style="medium">
        <color indexed="18"/>
      </right>
      <top style="medium">
        <color indexed="18"/>
      </top>
      <bottom/>
      <diagonal/>
    </border>
    <border>
      <left style="medium">
        <color indexed="12"/>
      </left>
      <right style="thin">
        <color indexed="12"/>
      </right>
      <top style="medium">
        <color indexed="12"/>
      </top>
      <bottom style="medium">
        <color indexed="12"/>
      </bottom>
      <diagonal/>
    </border>
    <border>
      <left style="thin">
        <color indexed="12"/>
      </left>
      <right style="medium">
        <color indexed="12"/>
      </right>
      <top style="medium">
        <color indexed="12"/>
      </top>
      <bottom style="medium">
        <color indexed="12"/>
      </bottom>
      <diagonal/>
    </border>
    <border>
      <left style="medium">
        <color indexed="12"/>
      </left>
      <right style="thin">
        <color indexed="22"/>
      </right>
      <top style="medium">
        <color indexed="12"/>
      </top>
      <bottom style="medium">
        <color indexed="12"/>
      </bottom>
      <diagonal/>
    </border>
  </borders>
  <cellStyleXfs count="9">
    <xf numFmtId="0" fontId="0" fillId="0" borderId="0"/>
    <xf numFmtId="167" fontId="1" fillId="0" borderId="0" applyFont="0" applyFill="0" applyBorder="0" applyAlignment="0" applyProtection="0"/>
    <xf numFmtId="3" fontId="1" fillId="0" borderId="0" applyFont="0" applyFill="0" applyBorder="0" applyAlignment="0" applyProtection="0"/>
    <xf numFmtId="5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2" fontId="1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" fillId="0" borderId="2" applyNumberFormat="0" applyFont="0" applyFill="0" applyAlignment="0" applyProtection="0"/>
  </cellStyleXfs>
  <cellXfs count="147">
    <xf numFmtId="0" fontId="0" fillId="0" borderId="0" xfId="0"/>
    <xf numFmtId="2" fontId="6" fillId="2" borderId="0" xfId="0" applyNumberFormat="1" applyFont="1" applyFill="1" applyAlignment="1">
      <alignment horizontal="center" vertical="center"/>
    </xf>
    <xf numFmtId="173" fontId="3" fillId="0" borderId="3" xfId="0" applyNumberFormat="1" applyFont="1" applyBorder="1" applyAlignment="1">
      <alignment horizontal="center" vertical="center"/>
    </xf>
    <xf numFmtId="0" fontId="0" fillId="3" borderId="0" xfId="0" applyFill="1" applyAlignment="1">
      <alignment vertical="center"/>
    </xf>
    <xf numFmtId="0" fontId="6" fillId="2" borderId="0" xfId="0" applyFont="1" applyFill="1" applyAlignment="1">
      <alignment horizontal="right" vertical="center"/>
    </xf>
    <xf numFmtId="0" fontId="6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172" fontId="2" fillId="3" borderId="0" xfId="0" applyNumberFormat="1" applyFont="1" applyFill="1" applyAlignment="1">
      <alignment horizontal="center" vertical="center"/>
    </xf>
    <xf numFmtId="171" fontId="4" fillId="3" borderId="4" xfId="0" applyNumberFormat="1" applyFont="1" applyFill="1" applyBorder="1" applyAlignment="1">
      <alignment horizontal="center" vertical="center"/>
    </xf>
    <xf numFmtId="171" fontId="4" fillId="3" borderId="5" xfId="0" applyNumberFormat="1" applyFont="1" applyFill="1" applyBorder="1" applyAlignment="1">
      <alignment horizontal="right" vertical="center"/>
    </xf>
    <xf numFmtId="170" fontId="4" fillId="3" borderId="6" xfId="0" applyNumberFormat="1" applyFont="1" applyFill="1" applyBorder="1" applyAlignment="1">
      <alignment horizontal="center" vertical="center"/>
    </xf>
    <xf numFmtId="171" fontId="6" fillId="3" borderId="7" xfId="0" applyNumberFormat="1" applyFont="1" applyFill="1" applyBorder="1" applyAlignment="1">
      <alignment horizontal="center" vertical="center"/>
    </xf>
    <xf numFmtId="173" fontId="2" fillId="2" borderId="8" xfId="0" applyNumberFormat="1" applyFont="1" applyFill="1" applyBorder="1" applyAlignment="1">
      <alignment horizontal="center" vertical="center"/>
    </xf>
    <xf numFmtId="10" fontId="2" fillId="2" borderId="1" xfId="0" applyNumberFormat="1" applyFont="1" applyFill="1" applyBorder="1" applyAlignment="1">
      <alignment horizontal="center" vertical="center"/>
    </xf>
    <xf numFmtId="0" fontId="0" fillId="3" borderId="1" xfId="0" applyFill="1" applyBorder="1" applyAlignment="1">
      <alignment vertical="center"/>
    </xf>
    <xf numFmtId="167" fontId="3" fillId="2" borderId="9" xfId="1" applyFont="1" applyFill="1" applyBorder="1" applyAlignment="1">
      <alignment horizontal="right" vertical="center"/>
    </xf>
    <xf numFmtId="14" fontId="3" fillId="2" borderId="10" xfId="1" applyNumberFormat="1" applyFont="1" applyFill="1" applyBorder="1" applyAlignment="1">
      <alignment horizontal="center" vertical="center"/>
    </xf>
    <xf numFmtId="0" fontId="6" fillId="4" borderId="11" xfId="0" applyFont="1" applyFill="1" applyBorder="1" applyAlignment="1">
      <alignment horizontal="right" vertical="center"/>
    </xf>
    <xf numFmtId="15" fontId="6" fillId="4" borderId="12" xfId="0" applyNumberFormat="1" applyFont="1" applyFill="1" applyBorder="1" applyAlignment="1">
      <alignment horizontal="center" vertical="center"/>
    </xf>
    <xf numFmtId="172" fontId="2" fillId="4" borderId="13" xfId="0" applyNumberFormat="1" applyFont="1" applyFill="1" applyBorder="1" applyAlignment="1">
      <alignment horizontal="center" vertical="center"/>
    </xf>
    <xf numFmtId="172" fontId="3" fillId="3" borderId="0" xfId="0" applyNumberFormat="1" applyFont="1" applyFill="1" applyAlignment="1">
      <alignment horizontal="center" vertical="center"/>
    </xf>
    <xf numFmtId="0" fontId="4" fillId="3" borderId="4" xfId="0" applyFont="1" applyFill="1" applyBorder="1" applyAlignment="1">
      <alignment vertical="center"/>
    </xf>
    <xf numFmtId="0" fontId="4" fillId="3" borderId="5" xfId="0" applyFont="1" applyFill="1" applyBorder="1" applyAlignment="1">
      <alignment vertical="center"/>
    </xf>
    <xf numFmtId="3" fontId="4" fillId="3" borderId="5" xfId="0" applyNumberFormat="1" applyFont="1" applyFill="1" applyBorder="1" applyAlignment="1">
      <alignment horizontal="right" vertical="center"/>
    </xf>
    <xf numFmtId="173" fontId="4" fillId="3" borderId="6" xfId="0" applyNumberFormat="1" applyFont="1" applyFill="1" applyBorder="1" applyAlignment="1">
      <alignment horizontal="center" vertical="center"/>
    </xf>
    <xf numFmtId="0" fontId="0" fillId="3" borderId="14" xfId="0" applyFill="1" applyBorder="1" applyAlignment="1">
      <alignment vertical="center"/>
    </xf>
    <xf numFmtId="171" fontId="2" fillId="3" borderId="15" xfId="0" applyNumberFormat="1" applyFont="1" applyFill="1" applyBorder="1" applyAlignment="1">
      <alignment horizontal="center" vertical="center"/>
    </xf>
    <xf numFmtId="167" fontId="10" fillId="3" borderId="16" xfId="1" applyFont="1" applyFill="1" applyBorder="1" applyAlignment="1">
      <alignment horizontal="right" vertical="center"/>
    </xf>
    <xf numFmtId="14" fontId="3" fillId="3" borderId="17" xfId="1" applyNumberFormat="1" applyFont="1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6" fillId="4" borderId="18" xfId="0" applyFont="1" applyFill="1" applyBorder="1" applyAlignment="1">
      <alignment horizontal="right" vertical="center"/>
    </xf>
    <xf numFmtId="15" fontId="6" fillId="4" borderId="19" xfId="0" applyNumberFormat="1" applyFont="1" applyFill="1" applyBorder="1" applyAlignment="1">
      <alignment horizontal="center" vertical="center"/>
    </xf>
    <xf numFmtId="172" fontId="2" fillId="4" borderId="20" xfId="0" applyNumberFormat="1" applyFont="1" applyFill="1" applyBorder="1" applyAlignment="1">
      <alignment horizontal="center" vertical="center"/>
    </xf>
    <xf numFmtId="0" fontId="6" fillId="3" borderId="0" xfId="0" applyFont="1" applyFill="1" applyAlignment="1">
      <alignment vertical="center"/>
    </xf>
    <xf numFmtId="171" fontId="12" fillId="3" borderId="4" xfId="0" applyNumberFormat="1" applyFont="1" applyFill="1" applyBorder="1" applyAlignment="1">
      <alignment horizontal="center" vertical="center"/>
    </xf>
    <xf numFmtId="9" fontId="12" fillId="3" borderId="6" xfId="0" applyNumberFormat="1" applyFont="1" applyFill="1" applyBorder="1" applyAlignment="1">
      <alignment horizontal="center" vertical="center"/>
    </xf>
    <xf numFmtId="171" fontId="2" fillId="3" borderId="21" xfId="0" applyNumberFormat="1" applyFont="1" applyFill="1" applyBorder="1" applyAlignment="1">
      <alignment horizontal="center" vertical="center"/>
    </xf>
    <xf numFmtId="172" fontId="2" fillId="3" borderId="9" xfId="0" applyNumberFormat="1" applyFont="1" applyFill="1" applyBorder="1" applyAlignment="1">
      <alignment horizontal="center" vertical="center"/>
    </xf>
    <xf numFmtId="173" fontId="2" fillId="4" borderId="22" xfId="0" applyNumberFormat="1" applyFont="1" applyFill="1" applyBorder="1" applyAlignment="1">
      <alignment horizontal="center" vertical="center"/>
    </xf>
    <xf numFmtId="167" fontId="4" fillId="3" borderId="0" xfId="1" applyFont="1" applyFill="1" applyBorder="1" applyAlignment="1">
      <alignment horizontal="right" vertical="center"/>
    </xf>
    <xf numFmtId="49" fontId="4" fillId="3" borderId="17" xfId="1" applyNumberFormat="1" applyFont="1" applyFill="1" applyBorder="1" applyAlignment="1">
      <alignment horizontal="center" vertical="center"/>
    </xf>
    <xf numFmtId="168" fontId="2" fillId="3" borderId="0" xfId="0" applyNumberFormat="1" applyFont="1" applyFill="1" applyAlignment="1">
      <alignment horizontal="center" vertical="center"/>
    </xf>
    <xf numFmtId="0" fontId="3" fillId="3" borderId="16" xfId="0" applyFont="1" applyFill="1" applyBorder="1" applyAlignment="1">
      <alignment vertical="center"/>
    </xf>
    <xf numFmtId="0" fontId="3" fillId="3" borderId="15" xfId="0" applyFont="1" applyFill="1" applyBorder="1" applyAlignment="1">
      <alignment horizontal="right" vertical="center"/>
    </xf>
    <xf numFmtId="170" fontId="3" fillId="3" borderId="3" xfId="0" applyNumberFormat="1" applyFont="1" applyFill="1" applyBorder="1" applyAlignment="1">
      <alignment horizontal="center" vertical="center"/>
    </xf>
    <xf numFmtId="0" fontId="3" fillId="3" borderId="21" xfId="0" applyFont="1" applyFill="1" applyBorder="1" applyAlignment="1">
      <alignment horizontal="left" vertical="center"/>
    </xf>
    <xf numFmtId="10" fontId="3" fillId="3" borderId="3" xfId="0" applyNumberFormat="1" applyFont="1" applyFill="1" applyBorder="1" applyAlignment="1">
      <alignment horizontal="center" vertical="center"/>
    </xf>
    <xf numFmtId="168" fontId="6" fillId="2" borderId="0" xfId="0" applyNumberFormat="1" applyFont="1" applyFill="1" applyAlignment="1">
      <alignment horizontal="center" vertical="center"/>
    </xf>
    <xf numFmtId="171" fontId="13" fillId="3" borderId="4" xfId="0" applyNumberFormat="1" applyFont="1" applyFill="1" applyBorder="1" applyAlignment="1">
      <alignment horizontal="center" vertical="center"/>
    </xf>
    <xf numFmtId="9" fontId="13" fillId="3" borderId="6" xfId="0" applyNumberFormat="1" applyFont="1" applyFill="1" applyBorder="1" applyAlignment="1">
      <alignment horizontal="center" vertical="center"/>
    </xf>
    <xf numFmtId="172" fontId="2" fillId="3" borderId="23" xfId="0" applyNumberFormat="1" applyFont="1" applyFill="1" applyBorder="1" applyAlignment="1">
      <alignment horizontal="center" vertical="center"/>
    </xf>
    <xf numFmtId="173" fontId="2" fillId="4" borderId="24" xfId="0" applyNumberFormat="1" applyFont="1" applyFill="1" applyBorder="1" applyAlignment="1">
      <alignment horizontal="center" vertical="center"/>
    </xf>
    <xf numFmtId="171" fontId="2" fillId="3" borderId="7" xfId="0" applyNumberFormat="1" applyFont="1" applyFill="1" applyBorder="1" applyAlignment="1">
      <alignment horizontal="center" vertical="center"/>
    </xf>
    <xf numFmtId="0" fontId="0" fillId="2" borderId="0" xfId="0" applyFill="1" applyAlignment="1">
      <alignment vertical="center"/>
    </xf>
    <xf numFmtId="0" fontId="7" fillId="2" borderId="0" xfId="0" applyFont="1" applyFill="1" applyAlignment="1">
      <alignment vertical="center"/>
    </xf>
    <xf numFmtId="0" fontId="5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10" fontId="6" fillId="2" borderId="0" xfId="0" applyNumberFormat="1" applyFont="1" applyFill="1" applyAlignment="1">
      <alignment horizontal="center" vertical="center"/>
    </xf>
    <xf numFmtId="3" fontId="2" fillId="3" borderId="3" xfId="0" applyNumberFormat="1" applyFont="1" applyFill="1" applyBorder="1" applyAlignment="1">
      <alignment horizontal="center" vertical="center"/>
    </xf>
    <xf numFmtId="172" fontId="15" fillId="3" borderId="25" xfId="0" applyNumberFormat="1" applyFont="1" applyFill="1" applyBorder="1" applyAlignment="1">
      <alignment horizontal="center" vertical="center"/>
    </xf>
    <xf numFmtId="171" fontId="2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0" fillId="0" borderId="0" xfId="0" applyAlignment="1">
      <alignment vertical="center"/>
    </xf>
    <xf numFmtId="2" fontId="5" fillId="2" borderId="0" xfId="0" applyNumberFormat="1" applyFont="1" applyFill="1" applyAlignment="1">
      <alignment vertical="center"/>
    </xf>
    <xf numFmtId="169" fontId="5" fillId="2" borderId="0" xfId="0" applyNumberFormat="1" applyFont="1" applyFill="1" applyAlignment="1">
      <alignment vertical="center"/>
    </xf>
    <xf numFmtId="0" fontId="2" fillId="5" borderId="0" xfId="0" applyFont="1" applyFill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72" fontId="2" fillId="0" borderId="0" xfId="0" applyNumberFormat="1" applyFont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  <xf numFmtId="172" fontId="2" fillId="0" borderId="9" xfId="0" applyNumberFormat="1" applyFont="1" applyBorder="1" applyAlignment="1">
      <alignment horizontal="center" vertical="center"/>
    </xf>
    <xf numFmtId="172" fontId="11" fillId="0" borderId="9" xfId="0" applyNumberFormat="1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5" fillId="0" borderId="0" xfId="0" applyFont="1" applyAlignment="1">
      <alignment horizontal="center" vertical="center"/>
    </xf>
    <xf numFmtId="168" fontId="3" fillId="2" borderId="0" xfId="0" applyNumberFormat="1" applyFont="1" applyFill="1" applyAlignment="1">
      <alignment horizontal="right" vertical="center"/>
    </xf>
    <xf numFmtId="2" fontId="7" fillId="2" borderId="0" xfId="0" applyNumberFormat="1" applyFont="1" applyFill="1" applyAlignment="1">
      <alignment horizontal="right" vertical="center"/>
    </xf>
    <xf numFmtId="169" fontId="7" fillId="2" borderId="0" xfId="0" applyNumberFormat="1" applyFont="1" applyFill="1" applyAlignment="1">
      <alignment horizontal="right" vertical="center"/>
    </xf>
    <xf numFmtId="2" fontId="2" fillId="5" borderId="0" xfId="0" applyNumberFormat="1" applyFont="1" applyFill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172" fontId="3" fillId="0" borderId="0" xfId="0" applyNumberFormat="1" applyFont="1" applyAlignment="1">
      <alignment horizontal="center" vertical="center"/>
    </xf>
    <xf numFmtId="3" fontId="3" fillId="0" borderId="8" xfId="0" applyNumberFormat="1" applyFont="1" applyBorder="1" applyAlignment="1">
      <alignment horizontal="center" vertical="center"/>
    </xf>
    <xf numFmtId="171" fontId="3" fillId="3" borderId="8" xfId="0" applyNumberFormat="1" applyFont="1" applyFill="1" applyBorder="1" applyAlignment="1">
      <alignment horizontal="center" vertical="center"/>
    </xf>
    <xf numFmtId="171" fontId="3" fillId="0" borderId="1" xfId="0" applyNumberFormat="1" applyFont="1" applyBorder="1" applyAlignment="1">
      <alignment horizontal="center" vertical="center"/>
    </xf>
    <xf numFmtId="173" fontId="3" fillId="0" borderId="1" xfId="0" applyNumberFormat="1" applyFont="1" applyBorder="1" applyAlignment="1">
      <alignment horizontal="center" vertical="center"/>
    </xf>
    <xf numFmtId="172" fontId="3" fillId="0" borderId="9" xfId="0" applyNumberFormat="1" applyFont="1" applyBorder="1" applyAlignment="1">
      <alignment horizontal="center" vertical="center"/>
    </xf>
    <xf numFmtId="170" fontId="0" fillId="0" borderId="0" xfId="0" applyNumberFormat="1" applyAlignment="1">
      <alignment horizontal="center" vertical="center"/>
    </xf>
    <xf numFmtId="10" fontId="2" fillId="2" borderId="0" xfId="0" applyNumberFormat="1" applyFont="1" applyFill="1" applyAlignment="1">
      <alignment horizontal="center" vertical="center"/>
    </xf>
    <xf numFmtId="3" fontId="2" fillId="2" borderId="0" xfId="0" applyNumberFormat="1" applyFont="1" applyFill="1" applyAlignment="1">
      <alignment horizontal="center" vertical="center"/>
    </xf>
    <xf numFmtId="3" fontId="2" fillId="0" borderId="0" xfId="0" applyNumberFormat="1" applyFont="1" applyBorder="1" applyAlignment="1">
      <alignment horizontal="center" vertical="center"/>
    </xf>
    <xf numFmtId="171" fontId="3" fillId="0" borderId="17" xfId="0" applyNumberFormat="1" applyFont="1" applyBorder="1" applyAlignment="1">
      <alignment horizontal="center" vertical="center"/>
    </xf>
    <xf numFmtId="171" fontId="2" fillId="0" borderId="15" xfId="0" applyNumberFormat="1" applyFont="1" applyBorder="1" applyAlignment="1">
      <alignment horizontal="center" vertical="center"/>
    </xf>
    <xf numFmtId="173" fontId="2" fillId="0" borderId="1" xfId="0" applyNumberFormat="1" applyFont="1" applyBorder="1" applyAlignment="1">
      <alignment horizontal="center" vertical="center"/>
    </xf>
    <xf numFmtId="3" fontId="2" fillId="0" borderId="3" xfId="0" applyNumberFormat="1" applyFont="1" applyBorder="1" applyAlignment="1">
      <alignment horizontal="center" vertical="center"/>
    </xf>
    <xf numFmtId="171" fontId="2" fillId="0" borderId="3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8" fontId="5" fillId="0" borderId="0" xfId="0" applyNumberFormat="1" applyFont="1" applyAlignment="1">
      <alignment vertical="center"/>
    </xf>
    <xf numFmtId="2" fontId="5" fillId="0" borderId="0" xfId="0" applyNumberFormat="1" applyFont="1" applyAlignment="1">
      <alignment vertical="center"/>
    </xf>
    <xf numFmtId="169" fontId="5" fillId="0" borderId="0" xfId="0" applyNumberFormat="1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173" fontId="2" fillId="0" borderId="16" xfId="0" applyNumberFormat="1" applyFont="1" applyBorder="1" applyAlignment="1">
      <alignment horizontal="center" vertical="center"/>
    </xf>
    <xf numFmtId="0" fontId="0" fillId="0" borderId="15" xfId="0" applyBorder="1" applyAlignment="1">
      <alignment vertical="center"/>
    </xf>
    <xf numFmtId="172" fontId="2" fillId="3" borderId="26" xfId="0" applyNumberFormat="1" applyFont="1" applyFill="1" applyBorder="1" applyAlignment="1">
      <alignment horizontal="center" vertical="center"/>
    </xf>
    <xf numFmtId="172" fontId="2" fillId="3" borderId="27" xfId="0" applyNumberFormat="1" applyFont="1" applyFill="1" applyBorder="1" applyAlignment="1">
      <alignment horizontal="center" vertical="center"/>
    </xf>
    <xf numFmtId="171" fontId="2" fillId="3" borderId="28" xfId="0" applyNumberFormat="1" applyFont="1" applyFill="1" applyBorder="1" applyAlignment="1">
      <alignment horizontal="center" vertical="center"/>
    </xf>
    <xf numFmtId="171" fontId="3" fillId="0" borderId="29" xfId="0" applyNumberFormat="1" applyFont="1" applyBorder="1" applyAlignment="1">
      <alignment horizontal="center" vertical="center"/>
    </xf>
    <xf numFmtId="171" fontId="2" fillId="5" borderId="30" xfId="0" applyNumberFormat="1" applyFont="1" applyFill="1" applyBorder="1" applyAlignment="1">
      <alignment horizontal="center" vertical="center"/>
    </xf>
    <xf numFmtId="171" fontId="3" fillId="5" borderId="31" xfId="0" applyNumberFormat="1" applyFont="1" applyFill="1" applyBorder="1" applyAlignment="1">
      <alignment horizontal="center" vertical="center"/>
    </xf>
    <xf numFmtId="171" fontId="2" fillId="5" borderId="32" xfId="0" applyNumberFormat="1" applyFont="1" applyFill="1" applyBorder="1" applyAlignment="1">
      <alignment horizontal="center" vertical="center"/>
    </xf>
    <xf numFmtId="0" fontId="0" fillId="3" borderId="16" xfId="0" applyFill="1" applyBorder="1" applyAlignment="1">
      <alignment vertical="center"/>
    </xf>
    <xf numFmtId="171" fontId="2" fillId="0" borderId="16" xfId="0" applyNumberFormat="1" applyFont="1" applyBorder="1" applyAlignment="1">
      <alignment horizontal="center" vertical="center"/>
    </xf>
    <xf numFmtId="0" fontId="0" fillId="3" borderId="15" xfId="0" applyFill="1" applyBorder="1" applyAlignment="1">
      <alignment vertical="center"/>
    </xf>
    <xf numFmtId="172" fontId="3" fillId="3" borderId="25" xfId="0" applyNumberFormat="1" applyFont="1" applyFill="1" applyBorder="1" applyAlignment="1">
      <alignment horizontal="center" vertical="center"/>
    </xf>
    <xf numFmtId="170" fontId="3" fillId="6" borderId="33" xfId="0" applyNumberFormat="1" applyFont="1" applyFill="1" applyBorder="1" applyAlignment="1">
      <alignment horizontal="center" vertical="center"/>
    </xf>
    <xf numFmtId="0" fontId="0" fillId="7" borderId="34" xfId="0" applyFill="1" applyBorder="1" applyAlignment="1">
      <alignment vertical="center"/>
    </xf>
    <xf numFmtId="0" fontId="0" fillId="3" borderId="21" xfId="0" applyFill="1" applyBorder="1" applyAlignment="1">
      <alignment vertical="center"/>
    </xf>
    <xf numFmtId="0" fontId="0" fillId="0" borderId="8" xfId="0" applyBorder="1" applyAlignment="1">
      <alignment vertical="center"/>
    </xf>
    <xf numFmtId="0" fontId="2" fillId="8" borderId="35" xfId="0" applyFont="1" applyFill="1" applyBorder="1" applyAlignment="1">
      <alignment horizontal="left"/>
    </xf>
    <xf numFmtId="0" fontId="0" fillId="8" borderId="36" xfId="0" applyFill="1" applyBorder="1" applyAlignment="1">
      <alignment vertical="center"/>
    </xf>
    <xf numFmtId="0" fontId="6" fillId="2" borderId="37" xfId="0" applyFont="1" applyFill="1" applyBorder="1" applyAlignment="1">
      <alignment horizontal="center" vertical="center"/>
    </xf>
    <xf numFmtId="0" fontId="6" fillId="2" borderId="38" xfId="0" applyFont="1" applyFill="1" applyBorder="1" applyAlignment="1">
      <alignment horizontal="center" vertical="center"/>
    </xf>
    <xf numFmtId="0" fontId="3" fillId="7" borderId="39" xfId="0" applyFont="1" applyFill="1" applyBorder="1" applyAlignment="1">
      <alignment horizontal="left"/>
    </xf>
    <xf numFmtId="0" fontId="18" fillId="3" borderId="1" xfId="0" applyFont="1" applyFill="1" applyBorder="1" applyAlignment="1">
      <alignment vertical="center"/>
    </xf>
    <xf numFmtId="0" fontId="19" fillId="0" borderId="1" xfId="0" applyFont="1" applyBorder="1" applyAlignment="1">
      <alignment horizontal="right"/>
    </xf>
    <xf numFmtId="0" fontId="20" fillId="0" borderId="0" xfId="0" applyFont="1"/>
    <xf numFmtId="174" fontId="2" fillId="9" borderId="0" xfId="0" applyNumberFormat="1" applyFont="1" applyFill="1" applyAlignment="1">
      <alignment horizontal="center"/>
    </xf>
    <xf numFmtId="4" fontId="2" fillId="9" borderId="0" xfId="0" applyNumberFormat="1" applyFont="1" applyFill="1" applyAlignment="1">
      <alignment horizontal="right"/>
    </xf>
    <xf numFmtId="174" fontId="2" fillId="0" borderId="0" xfId="0" applyNumberFormat="1" applyFont="1" applyAlignment="1">
      <alignment horizontal="center"/>
    </xf>
    <xf numFmtId="4" fontId="2" fillId="0" borderId="0" xfId="0" applyNumberFormat="1" applyFont="1" applyAlignment="1">
      <alignment horizontal="right"/>
    </xf>
    <xf numFmtId="4" fontId="20" fillId="0" borderId="0" xfId="0" applyNumberFormat="1" applyFont="1"/>
    <xf numFmtId="0" fontId="5" fillId="0" borderId="0" xfId="0" applyFont="1" applyFill="1" applyAlignment="1">
      <alignment horizontal="center" vertical="center"/>
    </xf>
    <xf numFmtId="0" fontId="0" fillId="0" borderId="0" xfId="0" applyFill="1" applyAlignment="1">
      <alignment vertical="center"/>
    </xf>
    <xf numFmtId="174" fontId="2" fillId="0" borderId="0" xfId="0" applyNumberFormat="1" applyFont="1" applyFill="1" applyAlignment="1">
      <alignment horizontal="center"/>
    </xf>
    <xf numFmtId="4" fontId="2" fillId="0" borderId="0" xfId="0" applyNumberFormat="1" applyFont="1" applyFill="1" applyAlignment="1">
      <alignment horizontal="right"/>
    </xf>
    <xf numFmtId="0" fontId="20" fillId="0" borderId="0" xfId="0" applyFont="1" applyFill="1"/>
    <xf numFmtId="4" fontId="20" fillId="0" borderId="0" xfId="0" applyNumberFormat="1" applyFont="1" applyFill="1"/>
    <xf numFmtId="10" fontId="2" fillId="0" borderId="0" xfId="0" applyNumberFormat="1" applyFont="1" applyFill="1" applyAlignment="1">
      <alignment horizontal="center" vertical="center"/>
    </xf>
    <xf numFmtId="3" fontId="2" fillId="0" borderId="0" xfId="0" applyNumberFormat="1" applyFont="1" applyFill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172" fontId="2" fillId="0" borderId="0" xfId="0" applyNumberFormat="1" applyFont="1" applyFill="1" applyAlignment="1">
      <alignment horizontal="center" vertical="center"/>
    </xf>
    <xf numFmtId="3" fontId="2" fillId="0" borderId="3" xfId="0" applyNumberFormat="1" applyFont="1" applyFill="1" applyBorder="1" applyAlignment="1">
      <alignment horizontal="center" vertical="center"/>
    </xf>
    <xf numFmtId="171" fontId="2" fillId="0" borderId="1" xfId="0" applyNumberFormat="1" applyFont="1" applyFill="1" applyBorder="1" applyAlignment="1">
      <alignment horizontal="center" vertical="center"/>
    </xf>
    <xf numFmtId="171" fontId="2" fillId="0" borderId="3" xfId="0" applyNumberFormat="1" applyFont="1" applyFill="1" applyBorder="1" applyAlignment="1">
      <alignment horizontal="center" vertical="center"/>
    </xf>
    <xf numFmtId="173" fontId="2" fillId="0" borderId="16" xfId="0" applyNumberFormat="1" applyFont="1" applyFill="1" applyBorder="1" applyAlignment="1">
      <alignment horizontal="center" vertical="center"/>
    </xf>
    <xf numFmtId="173" fontId="2" fillId="0" borderId="1" xfId="0" applyNumberFormat="1" applyFont="1" applyFill="1" applyBorder="1" applyAlignment="1">
      <alignment horizontal="center" vertical="center"/>
    </xf>
    <xf numFmtId="0" fontId="0" fillId="0" borderId="15" xfId="0" applyFill="1" applyBorder="1" applyAlignment="1">
      <alignment vertical="center"/>
    </xf>
    <xf numFmtId="0" fontId="0" fillId="0" borderId="1" xfId="0" applyFill="1" applyBorder="1" applyAlignment="1">
      <alignment vertical="center"/>
    </xf>
  </cellXfs>
  <cellStyles count="9">
    <cellStyle name="Comma" xfId="1" builtinId="3"/>
    <cellStyle name="Comma0" xfId="2" xr:uid="{38E8B055-77CC-477C-A544-88A5FDE3A553}"/>
    <cellStyle name="Currency0" xfId="3" xr:uid="{4092819F-DBCD-4E32-B3AE-8A2166D51D46}"/>
    <cellStyle name="Date" xfId="4" xr:uid="{14899ECF-285B-4449-B5D6-FEBF7CAA7A33}"/>
    <cellStyle name="Fixed" xfId="5" xr:uid="{ADA44FD2-0EB1-42D5-8AAA-44EB3F748A4F}"/>
    <cellStyle name="Heading 1" xfId="6" builtinId="16" customBuiltin="1"/>
    <cellStyle name="Heading 2" xfId="7" builtinId="17" customBuiltin="1"/>
    <cellStyle name="Normal" xfId="0" builtinId="0"/>
    <cellStyle name="Total" xfId="8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38100</xdr:colOff>
          <xdr:row>0</xdr:row>
          <xdr:rowOff>165100</xdr:rowOff>
        </xdr:from>
        <xdr:to>
          <xdr:col>2</xdr:col>
          <xdr:colOff>831850</xdr:colOff>
          <xdr:row>3</xdr:row>
          <xdr:rowOff>114300</xdr:rowOff>
        </xdr:to>
        <xdr:sp macro="" textlink="">
          <xdr:nvSpPr>
            <xdr:cNvPr id="1025" name="Butto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607D42BC-5CCA-0911-AC57-37DBC51F8CC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900" b="1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Download Data</a:t>
              </a:r>
            </a:p>
          </xdr:txBody>
        </xdr:sp>
        <xdr:clientData fPrintsWithSheet="0"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INDOWS\Desktop\STOCK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ock"/>
      <sheetName val="mape"/>
      <sheetName val="adx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F7A6A-9E8E-4DB5-BB51-64852208E509}">
  <sheetPr codeName="Sheet1"/>
  <dimension ref="A1:Y1343"/>
  <sheetViews>
    <sheetView tabSelected="1" zoomScale="90" zoomScaleNormal="90" workbookViewId="0">
      <selection activeCell="B5" sqref="B5"/>
    </sheetView>
  </sheetViews>
  <sheetFormatPr defaultColWidth="9.1796875" defaultRowHeight="12.5" x14ac:dyDescent="0.25"/>
  <cols>
    <col min="1" max="1" width="16.7265625" style="63" customWidth="1"/>
    <col min="2" max="2" width="12.81640625" style="63" customWidth="1"/>
    <col min="3" max="3" width="15.36328125" style="95" customWidth="1"/>
    <col min="4" max="4" width="6.81640625" style="96" customWidth="1"/>
    <col min="5" max="5" width="8.26953125" style="96" customWidth="1"/>
    <col min="6" max="6" width="7.7265625" style="96" customWidth="1"/>
    <col min="7" max="7" width="6.81640625" style="96" customWidth="1"/>
    <col min="8" max="8" width="12.453125" style="97" customWidth="1"/>
    <col min="9" max="9" width="9.1796875" style="98"/>
    <col min="10" max="10" width="1.54296875" style="63" customWidth="1"/>
    <col min="11" max="11" width="8.81640625" style="99" customWidth="1"/>
    <col min="12" max="12" width="8.54296875" style="99" customWidth="1"/>
    <col min="13" max="13" width="8.7265625" style="67" customWidth="1"/>
    <col min="14" max="14" width="9.7265625" style="68" customWidth="1"/>
    <col min="15" max="15" width="9.7265625" style="69" customWidth="1"/>
    <col min="16" max="16" width="9.7265625" style="61" customWidth="1"/>
    <col min="17" max="17" width="14.81640625" style="61" customWidth="1"/>
    <col min="18" max="18" width="9.7265625" style="61" customWidth="1"/>
    <col min="19" max="19" width="12.6328125" style="91" customWidth="1"/>
    <col min="20" max="20" width="10.81640625" style="61" customWidth="1"/>
    <col min="21" max="21" width="0.81640625" style="72" customWidth="1"/>
    <col min="22" max="22" width="13.1796875" style="94" customWidth="1"/>
    <col min="23" max="23" width="12.81640625" style="72" customWidth="1"/>
    <col min="24" max="16384" width="9.1796875" style="72"/>
  </cols>
  <sheetData>
    <row r="1" spans="1:25" s="15" customFormat="1" ht="14.15" customHeight="1" thickTop="1" thickBot="1" x14ac:dyDescent="0.35">
      <c r="A1" s="3"/>
      <c r="B1" s="3"/>
      <c r="C1" s="3"/>
      <c r="D1" s="3"/>
      <c r="E1" s="3"/>
      <c r="F1" s="3"/>
      <c r="G1" s="3"/>
      <c r="H1" s="4" t="s">
        <v>0</v>
      </c>
      <c r="I1" s="5">
        <f>COUNT(G8:G258)</f>
        <v>227</v>
      </c>
      <c r="J1" s="3"/>
      <c r="K1" s="6" t="s">
        <v>16</v>
      </c>
      <c r="L1" s="1">
        <f>ROUNDUP(1.05*MAX(I8:I258),0)</f>
        <v>4</v>
      </c>
      <c r="M1" s="7"/>
      <c r="N1" s="8"/>
      <c r="O1" s="9"/>
      <c r="P1" s="10" t="s">
        <v>27</v>
      </c>
      <c r="Q1" s="11">
        <v>2.5000000000000001E-2</v>
      </c>
      <c r="R1" s="12" t="s">
        <v>28</v>
      </c>
      <c r="S1" s="13" t="s">
        <v>39</v>
      </c>
      <c r="T1" s="14">
        <f>(1+Q1)^(1/12)-1</f>
        <v>2.0598362698427408E-3</v>
      </c>
      <c r="U1" s="109"/>
      <c r="V1" s="116"/>
      <c r="W1" s="116"/>
      <c r="X1" s="123" t="s">
        <v>52</v>
      </c>
      <c r="Y1" s="122" t="s">
        <v>51</v>
      </c>
    </row>
    <row r="2" spans="1:25" s="15" customFormat="1" ht="14.15" customHeight="1" thickTop="1" thickBot="1" x14ac:dyDescent="0.25">
      <c r="A2" s="16" t="s">
        <v>18</v>
      </c>
      <c r="B2" s="17">
        <f ca="1">B3-2*365-2</f>
        <v>45461</v>
      </c>
      <c r="C2" s="3"/>
      <c r="D2" s="3"/>
      <c r="E2" s="3"/>
      <c r="F2" s="3"/>
      <c r="G2" s="18" t="s">
        <v>9</v>
      </c>
      <c r="H2" s="19">
        <f>INDEX(C8:C258,MATCH(I2,F8:F258,0))</f>
        <v>46191.270833333343</v>
      </c>
      <c r="I2" s="20">
        <f>MIN(F8:F258)</f>
        <v>1.64</v>
      </c>
      <c r="J2" s="3"/>
      <c r="K2" s="6" t="s">
        <v>15</v>
      </c>
      <c r="L2" s="1">
        <f>ROUNDDOWN(0.95*MIN(I8:I7767),0)</f>
        <v>1</v>
      </c>
      <c r="M2" s="7"/>
      <c r="N2" s="21"/>
      <c r="O2" s="22"/>
      <c r="P2" s="23"/>
      <c r="Q2" s="24" t="s">
        <v>42</v>
      </c>
      <c r="R2" s="25">
        <v>100</v>
      </c>
      <c r="S2" s="26"/>
      <c r="T2" s="27"/>
      <c r="U2" s="109"/>
      <c r="V2" s="117" t="str">
        <f>"Stock = "&amp;TEXT(B4,"")&amp;" ("&amp;TEXT(K4,"mmm/yy")&amp;"-"&amp;TEXT(L4,"mmm/yy")&amp;")"</f>
        <v>Stock = GM (Jun/26-Jun/26)</v>
      </c>
      <c r="W2" s="118"/>
      <c r="X2" s="115"/>
    </row>
    <row r="3" spans="1:25" s="15" customFormat="1" ht="14.15" customHeight="1" thickTop="1" thickBot="1" x14ac:dyDescent="0.3">
      <c r="A3" s="28" t="s">
        <v>19</v>
      </c>
      <c r="B3" s="29">
        <f ca="1">TODAY()</f>
        <v>46193</v>
      </c>
      <c r="C3" s="30" t="s">
        <v>23</v>
      </c>
      <c r="D3" s="3"/>
      <c r="E3" s="3"/>
      <c r="F3" s="3"/>
      <c r="G3" s="31" t="s">
        <v>10</v>
      </c>
      <c r="H3" s="32">
        <f>INDEX(C8:C258,MATCH(I3,E8:E258,0))</f>
        <v>46191.302083333343</v>
      </c>
      <c r="I3" s="33">
        <f>MAX(E8:E258)</f>
        <v>3.35</v>
      </c>
      <c r="J3" s="3"/>
      <c r="K3" s="3"/>
      <c r="L3" s="34"/>
      <c r="M3" s="7"/>
      <c r="N3" s="8"/>
      <c r="O3" s="35" t="s">
        <v>25</v>
      </c>
      <c r="P3" s="36">
        <v>0.02</v>
      </c>
      <c r="Q3" s="104"/>
      <c r="R3" s="38"/>
      <c r="S3" s="39" t="s">
        <v>43</v>
      </c>
      <c r="T3" s="27"/>
      <c r="U3" s="109"/>
      <c r="V3" s="119" t="str">
        <f>V6&amp;" "&amp;V7</f>
        <v>AIM Portfolio</v>
      </c>
      <c r="W3" s="120" t="str">
        <f>W6&amp;" "&amp;W7</f>
        <v>Buy&amp;Hold Portfolio</v>
      </c>
      <c r="X3" s="111"/>
    </row>
    <row r="4" spans="1:25" s="15" customFormat="1" ht="14.15" customHeight="1" thickTop="1" thickBot="1" x14ac:dyDescent="0.3">
      <c r="A4" s="40" t="s">
        <v>14</v>
      </c>
      <c r="B4" s="41" t="s">
        <v>49</v>
      </c>
      <c r="C4" s="42"/>
      <c r="D4" s="43"/>
      <c r="E4" s="3"/>
      <c r="F4" s="44" t="s">
        <v>17</v>
      </c>
      <c r="G4" s="45">
        <f>(INDEX(I8:I258,I1)/I8)^(365/(L4-K4))-1</f>
        <v>24.580749638436853</v>
      </c>
      <c r="H4" s="46" t="str">
        <f>TEXT(K4,"mmm d/yy")&amp;" to "&amp;TEXT(L4,"mmm d/yy")</f>
        <v>Jun 1/26 to Jun 18/26</v>
      </c>
      <c r="I4" s="47"/>
      <c r="J4" s="3"/>
      <c r="K4" s="48">
        <f>MIN(C8:C258)</f>
        <v>46174.385416666657</v>
      </c>
      <c r="L4" s="48">
        <f>MAX(C8:C258)</f>
        <v>46191.822916666657</v>
      </c>
      <c r="M4" s="7"/>
      <c r="N4" s="8"/>
      <c r="O4" s="49" t="s">
        <v>26</v>
      </c>
      <c r="P4" s="50">
        <v>0.75</v>
      </c>
      <c r="Q4" s="108" t="s">
        <v>48</v>
      </c>
      <c r="R4" s="103"/>
      <c r="S4" s="52" t="s">
        <v>44</v>
      </c>
      <c r="T4" s="53"/>
      <c r="U4" s="109"/>
      <c r="V4" s="121" t="s">
        <v>50</v>
      </c>
      <c r="W4" s="114"/>
      <c r="X4" s="111"/>
    </row>
    <row r="5" spans="1:25" s="15" customFormat="1" ht="12" customHeight="1" thickTop="1" thickBot="1" x14ac:dyDescent="0.3">
      <c r="A5" s="4"/>
      <c r="B5" s="6"/>
      <c r="C5" s="54"/>
      <c r="D5" s="55"/>
      <c r="E5" s="56"/>
      <c r="F5" s="56"/>
      <c r="G5" s="56"/>
      <c r="H5" s="56"/>
      <c r="I5" s="57"/>
      <c r="J5" s="3" t="s">
        <v>1</v>
      </c>
      <c r="K5" s="4" t="s">
        <v>21</v>
      </c>
      <c r="L5" s="58">
        <f>AVERAGE(K8:K258)</f>
        <v>1.2211093168091678E-3</v>
      </c>
      <c r="M5" s="7"/>
      <c r="N5" s="8"/>
      <c r="O5" s="59"/>
      <c r="P5" s="102">
        <v>5</v>
      </c>
      <c r="Q5" s="106">
        <f>MIN(Q8:Q32)</f>
        <v>0</v>
      </c>
      <c r="R5" s="53" t="s">
        <v>33</v>
      </c>
      <c r="S5" s="60" t="s">
        <v>45</v>
      </c>
      <c r="T5" s="51" t="s">
        <v>22</v>
      </c>
      <c r="U5" s="110"/>
      <c r="V5" s="113">
        <f>(V32/V8)^(365/($L$4-$K$4))-1</f>
        <v>0.37355699061458547</v>
      </c>
      <c r="W5" s="113">
        <f>(W32/W8)^(365/($L$4-$K$4))-1</f>
        <v>0.37355699061458547</v>
      </c>
      <c r="X5" s="111"/>
    </row>
    <row r="6" spans="1:25" ht="13" thickBot="1" x14ac:dyDescent="0.3">
      <c r="A6" s="62"/>
      <c r="C6" s="56"/>
      <c r="D6" s="56"/>
      <c r="E6" s="56"/>
      <c r="F6" s="56"/>
      <c r="G6" s="64"/>
      <c r="H6" s="65"/>
      <c r="I6" s="66"/>
      <c r="K6" s="4" t="s">
        <v>20</v>
      </c>
      <c r="L6" s="58">
        <f>STDEVP(K8:K258)</f>
        <v>3.4178325990542061E-2</v>
      </c>
      <c r="P6" s="38" t="s">
        <v>29</v>
      </c>
      <c r="Q6" s="107" t="str">
        <f>IF(Q5&lt;0,"Add Cash!","")</f>
        <v/>
      </c>
      <c r="R6" s="37" t="s">
        <v>34</v>
      </c>
      <c r="S6" s="70" t="s">
        <v>35</v>
      </c>
      <c r="T6" s="71" t="s">
        <v>38</v>
      </c>
      <c r="U6" s="61"/>
      <c r="V6" s="112" t="s">
        <v>40</v>
      </c>
      <c r="W6" s="112" t="s">
        <v>41</v>
      </c>
    </row>
    <row r="7" spans="1:25" ht="13.5" thickBot="1" x14ac:dyDescent="0.3">
      <c r="A7" s="73" t="s">
        <v>11</v>
      </c>
      <c r="C7" s="74" t="s">
        <v>3</v>
      </c>
      <c r="D7" s="75" t="s">
        <v>4</v>
      </c>
      <c r="E7" s="75" t="s">
        <v>5</v>
      </c>
      <c r="F7" s="75" t="s">
        <v>6</v>
      </c>
      <c r="G7" s="75" t="s">
        <v>7</v>
      </c>
      <c r="H7" s="76" t="s">
        <v>8</v>
      </c>
      <c r="I7" s="77" t="s">
        <v>2</v>
      </c>
      <c r="K7" s="58" t="s">
        <v>12</v>
      </c>
      <c r="L7" s="58" t="s">
        <v>13</v>
      </c>
      <c r="M7" s="78" t="s">
        <v>53</v>
      </c>
      <c r="N7" s="79" t="s">
        <v>30</v>
      </c>
      <c r="O7" s="80" t="s">
        <v>37</v>
      </c>
      <c r="P7" s="81" t="s">
        <v>32</v>
      </c>
      <c r="Q7" s="105" t="s">
        <v>24</v>
      </c>
      <c r="R7" s="82" t="s">
        <v>31</v>
      </c>
      <c r="S7" s="83" t="s">
        <v>46</v>
      </c>
      <c r="T7" s="2" t="s">
        <v>47</v>
      </c>
      <c r="V7" s="84" t="s">
        <v>36</v>
      </c>
      <c r="W7" s="84" t="s">
        <v>36</v>
      </c>
    </row>
    <row r="8" spans="1:25" ht="13.5" thickTop="1" thickBot="1" x14ac:dyDescent="0.3">
      <c r="A8" s="73">
        <v>1</v>
      </c>
      <c r="B8" s="85"/>
      <c r="C8" s="125">
        <v>46174.385416666657</v>
      </c>
      <c r="D8" s="126">
        <v>1.97</v>
      </c>
      <c r="E8" s="126">
        <v>1.97</v>
      </c>
      <c r="F8" s="126">
        <v>1.97</v>
      </c>
      <c r="G8" s="126">
        <v>1.97</v>
      </c>
      <c r="H8" s="124">
        <v>19029487</v>
      </c>
      <c r="I8" s="129">
        <f>G8</f>
        <v>1.97</v>
      </c>
      <c r="K8" s="86"/>
      <c r="L8" s="87">
        <f>IF(G8&lt;&gt;"",H8/1000,"")</f>
        <v>19029.487000000001</v>
      </c>
      <c r="M8" s="67">
        <v>0</v>
      </c>
      <c r="N8" s="68">
        <f>I8</f>
        <v>1.97</v>
      </c>
      <c r="O8" s="88">
        <f>(PC/Price)</f>
        <v>12690.35532994924</v>
      </c>
      <c r="P8" s="89">
        <v>25000</v>
      </c>
      <c r="Q8" s="89">
        <v>0</v>
      </c>
      <c r="R8" s="90">
        <f>P8</f>
        <v>25000</v>
      </c>
      <c r="T8" s="91"/>
      <c r="V8" s="61">
        <f t="shared" ref="V8:V71" si="0">Units*Price+Q$8:Q$65536</f>
        <v>25000</v>
      </c>
      <c r="W8" s="61">
        <f>$O$8*Price+$Q$8*(1+Int)^Mth</f>
        <v>25000</v>
      </c>
    </row>
    <row r="9" spans="1:25" ht="13" thickTop="1" x14ac:dyDescent="0.25">
      <c r="A9" s="73">
        <f>1+A8</f>
        <v>2</v>
      </c>
      <c r="B9" s="85"/>
      <c r="C9" s="127">
        <v>46174.395833333343</v>
      </c>
      <c r="D9" s="128">
        <v>1.94</v>
      </c>
      <c r="E9" s="128">
        <v>1.9621</v>
      </c>
      <c r="F9" s="128">
        <v>1.94</v>
      </c>
      <c r="G9" s="128">
        <v>1.9621</v>
      </c>
      <c r="H9" s="124">
        <v>27478208</v>
      </c>
      <c r="I9" s="129">
        <f t="shared" ref="I9:I72" si="1">G9</f>
        <v>1.9621</v>
      </c>
      <c r="K9" s="86">
        <f>IF(G9&lt;&gt;"",I9/I8-1,"")</f>
        <v>-4.0101522842639348E-3</v>
      </c>
      <c r="L9" s="87">
        <f>IF(G9&lt;&gt;"",H9/1000,"")</f>
        <v>27478.207999999999</v>
      </c>
      <c r="M9" s="67">
        <f>1+M8</f>
        <v>1</v>
      </c>
      <c r="N9" s="68">
        <f>I9</f>
        <v>1.9621</v>
      </c>
      <c r="O9" s="92">
        <f>O8+Y/Price</f>
        <v>12690.35532994924</v>
      </c>
      <c r="P9" s="93">
        <f>P8+b*IF(Y&gt;0,Y,0)</f>
        <v>25000</v>
      </c>
      <c r="Q9" s="93">
        <f>Q8*(1+Int)-T9</f>
        <v>0</v>
      </c>
      <c r="R9" s="61">
        <f>Price*O8</f>
        <v>24899.746192893403</v>
      </c>
      <c r="S9" s="91">
        <f>P8-SV</f>
        <v>100.25380710659738</v>
      </c>
      <c r="T9" s="91">
        <f>IF(AND(X&gt;0,ABS(X)-a*SV&gt;MDT),ABS(X)-a*SV,IF(AND(X&lt;0,ABS(X)-a*SV&gt;MDT),-ABS(X)+a*SV,0))</f>
        <v>0</v>
      </c>
      <c r="V9" s="61">
        <f t="shared" si="0"/>
        <v>24899.746192893403</v>
      </c>
      <c r="W9" s="61">
        <f>$O$8*Price+$Q$8*(1+Int)^Mth</f>
        <v>24899.746192893403</v>
      </c>
    </row>
    <row r="10" spans="1:25" x14ac:dyDescent="0.25">
      <c r="A10" s="73">
        <f t="shared" ref="A10:A73" si="2">1+A9</f>
        <v>3</v>
      </c>
      <c r="B10" s="85"/>
      <c r="C10" s="125">
        <v>46174.40625</v>
      </c>
      <c r="D10" s="126">
        <v>1.9750000000000001</v>
      </c>
      <c r="E10" s="126">
        <v>1.9750000000000001</v>
      </c>
      <c r="F10" s="126">
        <v>1.9750000000000001</v>
      </c>
      <c r="G10" s="126">
        <v>1.9750000000000001</v>
      </c>
      <c r="H10" s="124">
        <v>24070368</v>
      </c>
      <c r="I10" s="129">
        <f t="shared" si="1"/>
        <v>1.9750000000000001</v>
      </c>
      <c r="K10" s="86">
        <f t="shared" ref="K10:K73" si="3">IF(G10&lt;&gt;"",I10/I9-1,"")</f>
        <v>6.5745884511494435E-3</v>
      </c>
      <c r="L10" s="87">
        <f t="shared" ref="L10:L73" si="4">IF(G10&lt;&gt;"",H10/1000,"")</f>
        <v>24070.367999999999</v>
      </c>
      <c r="M10" s="67">
        <f t="shared" ref="M10:M73" si="5">1+M9</f>
        <v>2</v>
      </c>
      <c r="N10" s="68">
        <f>I10</f>
        <v>1.9750000000000001</v>
      </c>
      <c r="O10" s="92">
        <f>O9+Y/Price</f>
        <v>12690.35532994924</v>
      </c>
      <c r="P10" s="61">
        <f>P9+b*IF(Y&gt;0,Y,0)</f>
        <v>25000</v>
      </c>
      <c r="Q10" s="93">
        <f t="shared" ref="Q10:Q32" si="6">Q9*(1+Int)-T10</f>
        <v>0</v>
      </c>
      <c r="R10" s="61">
        <f>Price*O9</f>
        <v>25063.451776649748</v>
      </c>
      <c r="S10" s="91">
        <f t="shared" ref="S10:S32" si="7">P9-SV</f>
        <v>-63.451776649748354</v>
      </c>
      <c r="T10" s="91">
        <f t="shared" ref="T10:T73" si="8">IF(AND(X&gt;0,ABS(X)-a*SV&gt;MDT),ABS(X)-a*SV,IF(AND(X&lt;0,ABS(X)-a*SV&gt;MDT),-ABS(X)+a*SV,0))</f>
        <v>0</v>
      </c>
      <c r="V10" s="61">
        <f t="shared" si="0"/>
        <v>25063.451776649748</v>
      </c>
      <c r="W10" s="61">
        <f t="shared" ref="W10:W73" si="9">$O$8*Price+$Q$8*(1+Int)^Mth</f>
        <v>25063.451776649748</v>
      </c>
    </row>
    <row r="11" spans="1:25" x14ac:dyDescent="0.25">
      <c r="A11" s="73">
        <f t="shared" si="2"/>
        <v>4</v>
      </c>
      <c r="B11" s="85"/>
      <c r="C11" s="127">
        <v>46174.427083333343</v>
      </c>
      <c r="D11" s="128">
        <v>1.9853000000000001</v>
      </c>
      <c r="E11" s="128">
        <v>1.9853000000000001</v>
      </c>
      <c r="F11" s="128">
        <v>1.9853000000000001</v>
      </c>
      <c r="G11" s="128">
        <v>1.9853000000000001</v>
      </c>
      <c r="H11" s="124">
        <v>41377774</v>
      </c>
      <c r="I11" s="129">
        <f t="shared" si="1"/>
        <v>1.9853000000000001</v>
      </c>
      <c r="K11" s="86">
        <f t="shared" si="3"/>
        <v>5.215189873417625E-3</v>
      </c>
      <c r="L11" s="87">
        <f t="shared" si="4"/>
        <v>41377.773999999998</v>
      </c>
      <c r="M11" s="67">
        <f t="shared" si="5"/>
        <v>3</v>
      </c>
      <c r="N11" s="68">
        <f>I11</f>
        <v>1.9853000000000001</v>
      </c>
      <c r="O11" s="92">
        <f t="shared" ref="O11:O74" si="10">O10+Y/Price</f>
        <v>12690.35532994924</v>
      </c>
      <c r="P11" s="61">
        <f>P10+b*IF(Y&gt;0,Y,0)</f>
        <v>25000</v>
      </c>
      <c r="Q11" s="93">
        <f t="shared" si="6"/>
        <v>0</v>
      </c>
      <c r="R11" s="61">
        <f>Price*O10</f>
        <v>25194.162436548228</v>
      </c>
      <c r="S11" s="91">
        <f t="shared" si="7"/>
        <v>-194.16243654822756</v>
      </c>
      <c r="T11" s="91">
        <f t="shared" si="8"/>
        <v>0</v>
      </c>
      <c r="V11" s="61">
        <f t="shared" si="0"/>
        <v>25194.162436548228</v>
      </c>
      <c r="W11" s="61">
        <f t="shared" si="9"/>
        <v>25194.162436548228</v>
      </c>
    </row>
    <row r="12" spans="1:25" x14ac:dyDescent="0.25">
      <c r="A12" s="73">
        <f t="shared" si="2"/>
        <v>5</v>
      </c>
      <c r="B12" s="85"/>
      <c r="C12" s="125">
        <v>46174.4375</v>
      </c>
      <c r="D12" s="126">
        <v>1.98</v>
      </c>
      <c r="E12" s="126">
        <v>1.98</v>
      </c>
      <c r="F12" s="126">
        <v>1.972</v>
      </c>
      <c r="G12" s="126">
        <v>1.972</v>
      </c>
      <c r="H12" s="124">
        <v>10160366</v>
      </c>
      <c r="I12" s="129">
        <f t="shared" si="1"/>
        <v>1.972</v>
      </c>
      <c r="K12" s="86">
        <f t="shared" si="3"/>
        <v>-6.6992394096611063E-3</v>
      </c>
      <c r="L12" s="87">
        <f t="shared" si="4"/>
        <v>10160.366</v>
      </c>
      <c r="M12" s="67">
        <f t="shared" si="5"/>
        <v>4</v>
      </c>
      <c r="N12" s="68">
        <f>I12</f>
        <v>1.972</v>
      </c>
      <c r="O12" s="92">
        <f t="shared" si="10"/>
        <v>12690.35532994924</v>
      </c>
      <c r="P12" s="61">
        <f>P11+b*IF(Y&gt;0,Y,0)</f>
        <v>25000</v>
      </c>
      <c r="Q12" s="93">
        <f t="shared" si="6"/>
        <v>0</v>
      </c>
      <c r="R12" s="61">
        <f>Price*O11</f>
        <v>25025.380710659902</v>
      </c>
      <c r="S12" s="100">
        <f t="shared" si="7"/>
        <v>-25.380710659901524</v>
      </c>
      <c r="T12" s="91">
        <f t="shared" si="8"/>
        <v>0</v>
      </c>
      <c r="U12" s="101"/>
      <c r="V12" s="61">
        <f t="shared" si="0"/>
        <v>25025.380710659902</v>
      </c>
      <c r="W12" s="61">
        <f t="shared" si="9"/>
        <v>25025.380710659902</v>
      </c>
    </row>
    <row r="13" spans="1:25" x14ac:dyDescent="0.25">
      <c r="A13" s="73">
        <f t="shared" si="2"/>
        <v>6</v>
      </c>
      <c r="B13" s="85"/>
      <c r="C13" s="127">
        <v>46174.447916666657</v>
      </c>
      <c r="D13" s="128">
        <v>1.988</v>
      </c>
      <c r="E13" s="128">
        <v>1.988</v>
      </c>
      <c r="F13" s="128">
        <v>1.988</v>
      </c>
      <c r="G13" s="128">
        <v>1.988</v>
      </c>
      <c r="H13" s="124">
        <v>20607077</v>
      </c>
      <c r="I13" s="129">
        <f t="shared" si="1"/>
        <v>1.988</v>
      </c>
      <c r="K13" s="86">
        <f t="shared" si="3"/>
        <v>8.113590263691739E-3</v>
      </c>
      <c r="L13" s="87">
        <f t="shared" si="4"/>
        <v>20607.077000000001</v>
      </c>
      <c r="M13" s="67">
        <f t="shared" si="5"/>
        <v>5</v>
      </c>
      <c r="N13" s="68">
        <f t="shared" ref="N13:N32" si="11">I13</f>
        <v>1.988</v>
      </c>
      <c r="O13" s="92">
        <f t="shared" si="10"/>
        <v>12690.35532994924</v>
      </c>
      <c r="P13" s="61">
        <f t="shared" ref="P13:P76" si="12">P12+b*IF(Y&gt;0,Y,0)</f>
        <v>25000</v>
      </c>
      <c r="Q13" s="93">
        <f t="shared" si="6"/>
        <v>0</v>
      </c>
      <c r="R13" s="61">
        <f t="shared" ref="R13:R32" si="13">Price*O12</f>
        <v>25228.426395939088</v>
      </c>
      <c r="S13" s="100">
        <f t="shared" si="7"/>
        <v>-228.42639593908825</v>
      </c>
      <c r="T13" s="91">
        <f t="shared" si="8"/>
        <v>0</v>
      </c>
      <c r="U13" s="101"/>
      <c r="V13" s="61">
        <f t="shared" si="0"/>
        <v>25228.426395939088</v>
      </c>
      <c r="W13" s="61">
        <f t="shared" si="9"/>
        <v>25228.426395939088</v>
      </c>
    </row>
    <row r="14" spans="1:25" x14ac:dyDescent="0.25">
      <c r="A14" s="73">
        <f t="shared" si="2"/>
        <v>7</v>
      </c>
      <c r="B14" s="85"/>
      <c r="C14" s="125">
        <v>46174.458333333343</v>
      </c>
      <c r="D14" s="126">
        <v>1.97</v>
      </c>
      <c r="E14" s="126">
        <v>1.97</v>
      </c>
      <c r="F14" s="126">
        <v>1.95</v>
      </c>
      <c r="G14" s="126">
        <v>1.95</v>
      </c>
      <c r="H14" s="124">
        <v>8470544</v>
      </c>
      <c r="I14" s="129">
        <f t="shared" si="1"/>
        <v>1.95</v>
      </c>
      <c r="K14" s="86">
        <f t="shared" si="3"/>
        <v>-1.9114688128772706E-2</v>
      </c>
      <c r="L14" s="87">
        <f t="shared" si="4"/>
        <v>8470.5439999999999</v>
      </c>
      <c r="M14" s="67">
        <f t="shared" si="5"/>
        <v>6</v>
      </c>
      <c r="N14" s="68">
        <f t="shared" si="11"/>
        <v>1.95</v>
      </c>
      <c r="O14" s="92">
        <f t="shared" si="10"/>
        <v>12690.35532994924</v>
      </c>
      <c r="P14" s="61">
        <f t="shared" si="12"/>
        <v>25000</v>
      </c>
      <c r="Q14" s="93">
        <f t="shared" si="6"/>
        <v>0</v>
      </c>
      <c r="R14" s="61">
        <f t="shared" si="13"/>
        <v>24746.192893401017</v>
      </c>
      <c r="S14" s="100">
        <f t="shared" si="7"/>
        <v>253.8071065989825</v>
      </c>
      <c r="T14" s="91">
        <f t="shared" si="8"/>
        <v>0</v>
      </c>
      <c r="U14" s="101"/>
      <c r="V14" s="61">
        <f t="shared" si="0"/>
        <v>24746.192893401017</v>
      </c>
      <c r="W14" s="61">
        <f t="shared" si="9"/>
        <v>24746.192893401017</v>
      </c>
    </row>
    <row r="15" spans="1:25" x14ac:dyDescent="0.25">
      <c r="A15" s="73">
        <f t="shared" si="2"/>
        <v>8</v>
      </c>
      <c r="B15" s="85"/>
      <c r="C15" s="127">
        <v>46174.46875</v>
      </c>
      <c r="D15" s="128">
        <v>1.9585999999999999</v>
      </c>
      <c r="E15" s="128">
        <v>1.9585999999999999</v>
      </c>
      <c r="F15" s="128">
        <v>1.9585999999999999</v>
      </c>
      <c r="G15" s="128">
        <v>1.9585999999999999</v>
      </c>
      <c r="H15" s="124">
        <v>8560691</v>
      </c>
      <c r="I15" s="129">
        <f t="shared" si="1"/>
        <v>1.9585999999999999</v>
      </c>
      <c r="K15" s="86">
        <f t="shared" si="3"/>
        <v>4.4102564102563857E-3</v>
      </c>
      <c r="L15" s="87">
        <f t="shared" si="4"/>
        <v>8560.6910000000007</v>
      </c>
      <c r="M15" s="67">
        <f t="shared" si="5"/>
        <v>7</v>
      </c>
      <c r="N15" s="68">
        <f t="shared" si="11"/>
        <v>1.9585999999999999</v>
      </c>
      <c r="O15" s="92">
        <f t="shared" si="10"/>
        <v>12690.35532994924</v>
      </c>
      <c r="P15" s="61">
        <f t="shared" si="12"/>
        <v>25000</v>
      </c>
      <c r="Q15" s="93">
        <f t="shared" si="6"/>
        <v>0</v>
      </c>
      <c r="R15" s="61">
        <f t="shared" si="13"/>
        <v>24855.329949238578</v>
      </c>
      <c r="S15" s="100">
        <f t="shared" si="7"/>
        <v>144.67005076142232</v>
      </c>
      <c r="T15" s="91">
        <f t="shared" si="8"/>
        <v>0</v>
      </c>
      <c r="U15" s="101"/>
      <c r="V15" s="61">
        <f t="shared" si="0"/>
        <v>24855.329949238578</v>
      </c>
      <c r="W15" s="61">
        <f t="shared" si="9"/>
        <v>24855.329949238578</v>
      </c>
    </row>
    <row r="16" spans="1:25" x14ac:dyDescent="0.25">
      <c r="A16" s="73">
        <f t="shared" si="2"/>
        <v>9</v>
      </c>
      <c r="B16" s="85"/>
      <c r="C16" s="125">
        <v>46174.520833333343</v>
      </c>
      <c r="D16" s="126">
        <v>1.968</v>
      </c>
      <c r="E16" s="126">
        <v>1.97</v>
      </c>
      <c r="F16" s="126">
        <v>1.9668000000000001</v>
      </c>
      <c r="G16" s="126">
        <v>1.97</v>
      </c>
      <c r="H16" s="124">
        <v>7356570</v>
      </c>
      <c r="I16" s="129">
        <f t="shared" si="1"/>
        <v>1.97</v>
      </c>
      <c r="K16" s="86">
        <f t="shared" si="3"/>
        <v>5.8204840191973251E-3</v>
      </c>
      <c r="L16" s="87">
        <f t="shared" si="4"/>
        <v>7356.57</v>
      </c>
      <c r="M16" s="67">
        <f t="shared" si="5"/>
        <v>8</v>
      </c>
      <c r="N16" s="68">
        <f t="shared" si="11"/>
        <v>1.97</v>
      </c>
      <c r="O16" s="92">
        <f t="shared" si="10"/>
        <v>12690.35532994924</v>
      </c>
      <c r="P16" s="61">
        <f t="shared" si="12"/>
        <v>25000</v>
      </c>
      <c r="Q16" s="93">
        <f t="shared" si="6"/>
        <v>0</v>
      </c>
      <c r="R16" s="61">
        <f t="shared" si="13"/>
        <v>25000</v>
      </c>
      <c r="S16" s="100">
        <f t="shared" si="7"/>
        <v>0</v>
      </c>
      <c r="T16" s="91">
        <f t="shared" si="8"/>
        <v>0</v>
      </c>
      <c r="U16" s="101"/>
      <c r="V16" s="61">
        <f t="shared" si="0"/>
        <v>25000</v>
      </c>
      <c r="W16" s="61">
        <f t="shared" si="9"/>
        <v>25000</v>
      </c>
    </row>
    <row r="17" spans="1:23" x14ac:dyDescent="0.25">
      <c r="A17" s="73">
        <f t="shared" si="2"/>
        <v>10</v>
      </c>
      <c r="B17" s="85"/>
      <c r="C17" s="127">
        <v>46174.541666666657</v>
      </c>
      <c r="D17" s="128">
        <v>1.96</v>
      </c>
      <c r="E17" s="128">
        <v>1.96</v>
      </c>
      <c r="F17" s="128">
        <v>1.96</v>
      </c>
      <c r="G17" s="128">
        <v>1.96</v>
      </c>
      <c r="H17" s="124">
        <v>10897601</v>
      </c>
      <c r="I17" s="129">
        <f t="shared" si="1"/>
        <v>1.96</v>
      </c>
      <c r="K17" s="86">
        <f t="shared" si="3"/>
        <v>-5.0761421319797106E-3</v>
      </c>
      <c r="L17" s="87">
        <f t="shared" si="4"/>
        <v>10897.601000000001</v>
      </c>
      <c r="M17" s="67">
        <f t="shared" si="5"/>
        <v>9</v>
      </c>
      <c r="N17" s="68">
        <f t="shared" si="11"/>
        <v>1.96</v>
      </c>
      <c r="O17" s="92">
        <f t="shared" si="10"/>
        <v>12690.35532994924</v>
      </c>
      <c r="P17" s="61">
        <f t="shared" si="12"/>
        <v>25000</v>
      </c>
      <c r="Q17" s="93">
        <f t="shared" si="6"/>
        <v>0</v>
      </c>
      <c r="R17" s="61">
        <f t="shared" si="13"/>
        <v>24873.096446700511</v>
      </c>
      <c r="S17" s="100">
        <f t="shared" si="7"/>
        <v>126.90355329948943</v>
      </c>
      <c r="T17" s="91">
        <f t="shared" si="8"/>
        <v>0</v>
      </c>
      <c r="U17" s="101"/>
      <c r="V17" s="61">
        <f t="shared" si="0"/>
        <v>24873.096446700511</v>
      </c>
      <c r="W17" s="61">
        <f t="shared" si="9"/>
        <v>24873.096446700511</v>
      </c>
    </row>
    <row r="18" spans="1:23" x14ac:dyDescent="0.25">
      <c r="A18" s="73">
        <f t="shared" si="2"/>
        <v>11</v>
      </c>
      <c r="B18" s="85"/>
      <c r="C18" s="125">
        <v>46174.572916666657</v>
      </c>
      <c r="D18" s="126">
        <v>1.97</v>
      </c>
      <c r="E18" s="126">
        <v>1.97</v>
      </c>
      <c r="F18" s="126">
        <v>1.97</v>
      </c>
      <c r="G18" s="126">
        <v>1.97</v>
      </c>
      <c r="H18" s="124">
        <v>14250947</v>
      </c>
      <c r="I18" s="129">
        <f t="shared" si="1"/>
        <v>1.97</v>
      </c>
      <c r="K18" s="86">
        <f t="shared" si="3"/>
        <v>5.1020408163264808E-3</v>
      </c>
      <c r="L18" s="87">
        <f t="shared" si="4"/>
        <v>14250.947</v>
      </c>
      <c r="M18" s="67">
        <f t="shared" si="5"/>
        <v>10</v>
      </c>
      <c r="N18" s="68">
        <f t="shared" si="11"/>
        <v>1.97</v>
      </c>
      <c r="O18" s="92">
        <f t="shared" si="10"/>
        <v>12690.35532994924</v>
      </c>
      <c r="P18" s="61">
        <f t="shared" si="12"/>
        <v>25000</v>
      </c>
      <c r="Q18" s="93">
        <f t="shared" si="6"/>
        <v>0</v>
      </c>
      <c r="R18" s="61">
        <f t="shared" si="13"/>
        <v>25000</v>
      </c>
      <c r="S18" s="100">
        <f t="shared" si="7"/>
        <v>0</v>
      </c>
      <c r="T18" s="91">
        <f t="shared" si="8"/>
        <v>0</v>
      </c>
      <c r="U18" s="101"/>
      <c r="V18" s="61">
        <f t="shared" si="0"/>
        <v>25000</v>
      </c>
      <c r="W18" s="61">
        <f t="shared" si="9"/>
        <v>25000</v>
      </c>
    </row>
    <row r="19" spans="1:23" x14ac:dyDescent="0.25">
      <c r="A19" s="73">
        <f t="shared" si="2"/>
        <v>12</v>
      </c>
      <c r="B19" s="85"/>
      <c r="C19" s="127">
        <v>46174.59375</v>
      </c>
      <c r="D19" s="128">
        <v>1.9696</v>
      </c>
      <c r="E19" s="128">
        <v>1.9696</v>
      </c>
      <c r="F19" s="128">
        <v>1.9650000000000001</v>
      </c>
      <c r="G19" s="128">
        <v>1.9650000000000001</v>
      </c>
      <c r="H19" s="124">
        <v>22924385</v>
      </c>
      <c r="I19" s="129">
        <f t="shared" si="1"/>
        <v>1.9650000000000001</v>
      </c>
      <c r="K19" s="86">
        <f t="shared" si="3"/>
        <v>-2.5380710659897998E-3</v>
      </c>
      <c r="L19" s="87">
        <f t="shared" si="4"/>
        <v>22924.384999999998</v>
      </c>
      <c r="M19" s="67">
        <f t="shared" si="5"/>
        <v>11</v>
      </c>
      <c r="N19" s="68">
        <f t="shared" si="11"/>
        <v>1.9650000000000001</v>
      </c>
      <c r="O19" s="92">
        <f t="shared" si="10"/>
        <v>12690.35532994924</v>
      </c>
      <c r="P19" s="61">
        <f t="shared" si="12"/>
        <v>25000</v>
      </c>
      <c r="Q19" s="93">
        <f t="shared" si="6"/>
        <v>0</v>
      </c>
      <c r="R19" s="61">
        <f t="shared" si="13"/>
        <v>24936.548223350255</v>
      </c>
      <c r="S19" s="100">
        <f t="shared" si="7"/>
        <v>63.451776649744716</v>
      </c>
      <c r="T19" s="91">
        <f t="shared" si="8"/>
        <v>0</v>
      </c>
      <c r="U19" s="101"/>
      <c r="V19" s="61">
        <f t="shared" si="0"/>
        <v>24936.548223350255</v>
      </c>
      <c r="W19" s="61">
        <f t="shared" si="9"/>
        <v>24936.548223350255</v>
      </c>
    </row>
    <row r="20" spans="1:23" x14ac:dyDescent="0.25">
      <c r="A20" s="73">
        <f t="shared" si="2"/>
        <v>13</v>
      </c>
      <c r="B20" s="85"/>
      <c r="C20" s="125">
        <v>46174.604166666657</v>
      </c>
      <c r="D20" s="126">
        <v>1.9650000000000001</v>
      </c>
      <c r="E20" s="126">
        <v>1.9650000000000001</v>
      </c>
      <c r="F20" s="126">
        <v>1.9650000000000001</v>
      </c>
      <c r="G20" s="126">
        <v>1.9650000000000001</v>
      </c>
      <c r="H20" s="124">
        <v>13327378</v>
      </c>
      <c r="I20" s="129">
        <f t="shared" si="1"/>
        <v>1.9650000000000001</v>
      </c>
      <c r="K20" s="86">
        <f t="shared" si="3"/>
        <v>0</v>
      </c>
      <c r="L20" s="87">
        <f t="shared" si="4"/>
        <v>13327.378000000001</v>
      </c>
      <c r="M20" s="67">
        <f t="shared" si="5"/>
        <v>12</v>
      </c>
      <c r="N20" s="68">
        <f t="shared" si="11"/>
        <v>1.9650000000000001</v>
      </c>
      <c r="O20" s="92">
        <f t="shared" si="10"/>
        <v>12690.35532994924</v>
      </c>
      <c r="P20" s="61">
        <f t="shared" si="12"/>
        <v>25000</v>
      </c>
      <c r="Q20" s="93">
        <f t="shared" si="6"/>
        <v>0</v>
      </c>
      <c r="R20" s="61">
        <f t="shared" si="13"/>
        <v>24936.548223350255</v>
      </c>
      <c r="S20" s="100">
        <f t="shared" si="7"/>
        <v>63.451776649744716</v>
      </c>
      <c r="T20" s="91">
        <f t="shared" si="8"/>
        <v>0</v>
      </c>
      <c r="U20" s="101"/>
      <c r="V20" s="61">
        <f t="shared" si="0"/>
        <v>24936.548223350255</v>
      </c>
      <c r="W20" s="61">
        <f t="shared" si="9"/>
        <v>24936.548223350255</v>
      </c>
    </row>
    <row r="21" spans="1:23" x14ac:dyDescent="0.25">
      <c r="A21" s="73">
        <f t="shared" si="2"/>
        <v>14</v>
      </c>
      <c r="B21" s="85"/>
      <c r="C21" s="127">
        <v>46174.625</v>
      </c>
      <c r="D21" s="128">
        <v>1.9690000000000001</v>
      </c>
      <c r="E21" s="128">
        <v>1.9690000000000001</v>
      </c>
      <c r="F21" s="128">
        <v>1.9650000000000001</v>
      </c>
      <c r="G21" s="128">
        <v>1.9650000000000001</v>
      </c>
      <c r="H21" s="124">
        <v>14986529</v>
      </c>
      <c r="I21" s="129">
        <f t="shared" si="1"/>
        <v>1.9650000000000001</v>
      </c>
      <c r="K21" s="86">
        <f t="shared" si="3"/>
        <v>0</v>
      </c>
      <c r="L21" s="87">
        <f t="shared" si="4"/>
        <v>14986.529</v>
      </c>
      <c r="M21" s="67">
        <f t="shared" si="5"/>
        <v>13</v>
      </c>
      <c r="N21" s="68">
        <f t="shared" si="11"/>
        <v>1.9650000000000001</v>
      </c>
      <c r="O21" s="92">
        <f t="shared" si="10"/>
        <v>12690.35532994924</v>
      </c>
      <c r="P21" s="61">
        <f t="shared" si="12"/>
        <v>25000</v>
      </c>
      <c r="Q21" s="93">
        <f t="shared" si="6"/>
        <v>0</v>
      </c>
      <c r="R21" s="61">
        <f t="shared" si="13"/>
        <v>24936.548223350255</v>
      </c>
      <c r="S21" s="100">
        <f t="shared" si="7"/>
        <v>63.451776649744716</v>
      </c>
      <c r="T21" s="91">
        <f t="shared" si="8"/>
        <v>0</v>
      </c>
      <c r="U21" s="101"/>
      <c r="V21" s="61">
        <f t="shared" si="0"/>
        <v>24936.548223350255</v>
      </c>
      <c r="W21" s="61">
        <f t="shared" si="9"/>
        <v>24936.548223350255</v>
      </c>
    </row>
    <row r="22" spans="1:23" x14ac:dyDescent="0.25">
      <c r="A22" s="73">
        <f t="shared" si="2"/>
        <v>15</v>
      </c>
      <c r="B22" s="85"/>
      <c r="C22" s="125">
        <v>46174.635416666657</v>
      </c>
      <c r="D22" s="126">
        <v>1.9601</v>
      </c>
      <c r="E22" s="126">
        <v>1.9601</v>
      </c>
      <c r="F22" s="126">
        <v>1.96</v>
      </c>
      <c r="G22" s="126">
        <v>1.96</v>
      </c>
      <c r="H22" s="124">
        <v>8698857</v>
      </c>
      <c r="I22" s="129">
        <f t="shared" si="1"/>
        <v>1.96</v>
      </c>
      <c r="K22" s="86">
        <f t="shared" si="3"/>
        <v>-2.5445292620865922E-3</v>
      </c>
      <c r="L22" s="87">
        <f t="shared" si="4"/>
        <v>8698.857</v>
      </c>
      <c r="M22" s="67">
        <f t="shared" si="5"/>
        <v>14</v>
      </c>
      <c r="N22" s="68">
        <f t="shared" si="11"/>
        <v>1.96</v>
      </c>
      <c r="O22" s="92">
        <f t="shared" si="10"/>
        <v>12690.35532994924</v>
      </c>
      <c r="P22" s="61">
        <f t="shared" si="12"/>
        <v>25000</v>
      </c>
      <c r="Q22" s="93">
        <f t="shared" si="6"/>
        <v>0</v>
      </c>
      <c r="R22" s="61">
        <f t="shared" si="13"/>
        <v>24873.096446700511</v>
      </c>
      <c r="S22" s="100">
        <f t="shared" si="7"/>
        <v>126.90355329948943</v>
      </c>
      <c r="T22" s="91">
        <f t="shared" si="8"/>
        <v>0</v>
      </c>
      <c r="U22" s="101"/>
      <c r="V22" s="61">
        <f t="shared" si="0"/>
        <v>24873.096446700511</v>
      </c>
      <c r="W22" s="61">
        <f t="shared" si="9"/>
        <v>24873.096446700511</v>
      </c>
    </row>
    <row r="23" spans="1:23" x14ac:dyDescent="0.25">
      <c r="A23" s="73">
        <f t="shared" si="2"/>
        <v>16</v>
      </c>
      <c r="B23" s="85"/>
      <c r="C23" s="127">
        <v>46174.645833333343</v>
      </c>
      <c r="D23" s="128">
        <v>1.97</v>
      </c>
      <c r="E23" s="128">
        <v>1.98</v>
      </c>
      <c r="F23" s="128">
        <v>1.97</v>
      </c>
      <c r="G23" s="128">
        <v>1.98</v>
      </c>
      <c r="H23" s="124">
        <v>28024250</v>
      </c>
      <c r="I23" s="129">
        <f t="shared" si="1"/>
        <v>1.98</v>
      </c>
      <c r="K23" s="86">
        <f t="shared" si="3"/>
        <v>1.0204081632652962E-2</v>
      </c>
      <c r="L23" s="87">
        <f t="shared" si="4"/>
        <v>28024.25</v>
      </c>
      <c r="M23" s="67">
        <f t="shared" si="5"/>
        <v>15</v>
      </c>
      <c r="N23" s="68">
        <f t="shared" si="11"/>
        <v>1.98</v>
      </c>
      <c r="O23" s="92">
        <f t="shared" si="10"/>
        <v>12690.35532994924</v>
      </c>
      <c r="P23" s="61">
        <f t="shared" si="12"/>
        <v>25000</v>
      </c>
      <c r="Q23" s="93">
        <f t="shared" si="6"/>
        <v>0</v>
      </c>
      <c r="R23" s="61">
        <f t="shared" si="13"/>
        <v>25126.903553299493</v>
      </c>
      <c r="S23" s="100">
        <f t="shared" si="7"/>
        <v>-126.90355329949307</v>
      </c>
      <c r="T23" s="91">
        <f t="shared" si="8"/>
        <v>0</v>
      </c>
      <c r="U23" s="101"/>
      <c r="V23" s="61">
        <f t="shared" si="0"/>
        <v>25126.903553299493</v>
      </c>
      <c r="W23" s="61">
        <f t="shared" si="9"/>
        <v>25126.903553299493</v>
      </c>
    </row>
    <row r="24" spans="1:23" x14ac:dyDescent="0.25">
      <c r="A24" s="73">
        <f t="shared" si="2"/>
        <v>17</v>
      </c>
      <c r="B24" s="85"/>
      <c r="C24" s="125">
        <v>46174.65625</v>
      </c>
      <c r="D24" s="126">
        <v>1.98</v>
      </c>
      <c r="E24" s="126">
        <v>1.98</v>
      </c>
      <c r="F24" s="126">
        <v>1.96</v>
      </c>
      <c r="G24" s="126">
        <v>1.96</v>
      </c>
      <c r="H24" s="124">
        <v>12559262</v>
      </c>
      <c r="I24" s="129">
        <f t="shared" si="1"/>
        <v>1.96</v>
      </c>
      <c r="K24" s="86">
        <f t="shared" si="3"/>
        <v>-1.0101010101010055E-2</v>
      </c>
      <c r="L24" s="87">
        <f t="shared" si="4"/>
        <v>12559.262000000001</v>
      </c>
      <c r="M24" s="67">
        <f t="shared" si="5"/>
        <v>16</v>
      </c>
      <c r="N24" s="68">
        <f t="shared" si="11"/>
        <v>1.96</v>
      </c>
      <c r="O24" s="92">
        <f t="shared" si="10"/>
        <v>12690.35532994924</v>
      </c>
      <c r="P24" s="61">
        <f t="shared" si="12"/>
        <v>25000</v>
      </c>
      <c r="Q24" s="93">
        <f t="shared" si="6"/>
        <v>0</v>
      </c>
      <c r="R24" s="61">
        <f t="shared" si="13"/>
        <v>24873.096446700511</v>
      </c>
      <c r="S24" s="100">
        <f t="shared" si="7"/>
        <v>126.90355329948943</v>
      </c>
      <c r="T24" s="91">
        <f t="shared" si="8"/>
        <v>0</v>
      </c>
      <c r="U24" s="101"/>
      <c r="V24" s="61">
        <f t="shared" si="0"/>
        <v>24873.096446700511</v>
      </c>
      <c r="W24" s="61">
        <f t="shared" si="9"/>
        <v>24873.096446700511</v>
      </c>
    </row>
    <row r="25" spans="1:23" x14ac:dyDescent="0.25">
      <c r="A25" s="73">
        <f t="shared" si="2"/>
        <v>18</v>
      </c>
      <c r="B25" s="85"/>
      <c r="C25" s="127">
        <v>46175.395833333343</v>
      </c>
      <c r="D25" s="128">
        <v>1.97</v>
      </c>
      <c r="E25" s="128">
        <v>1.97</v>
      </c>
      <c r="F25" s="128">
        <v>1.97</v>
      </c>
      <c r="G25" s="128">
        <v>1.97</v>
      </c>
      <c r="H25" s="124">
        <v>21934427</v>
      </c>
      <c r="I25" s="129">
        <f t="shared" si="1"/>
        <v>1.97</v>
      </c>
      <c r="K25" s="86">
        <f t="shared" si="3"/>
        <v>5.1020408163264808E-3</v>
      </c>
      <c r="L25" s="87">
        <f t="shared" si="4"/>
        <v>21934.427</v>
      </c>
      <c r="M25" s="67">
        <f t="shared" si="5"/>
        <v>17</v>
      </c>
      <c r="N25" s="68">
        <f t="shared" si="11"/>
        <v>1.97</v>
      </c>
      <c r="O25" s="92">
        <f t="shared" si="10"/>
        <v>12690.35532994924</v>
      </c>
      <c r="P25" s="61">
        <f t="shared" si="12"/>
        <v>25000</v>
      </c>
      <c r="Q25" s="93">
        <f t="shared" si="6"/>
        <v>0</v>
      </c>
      <c r="R25" s="61">
        <f t="shared" si="13"/>
        <v>25000</v>
      </c>
      <c r="S25" s="100">
        <f t="shared" si="7"/>
        <v>0</v>
      </c>
      <c r="T25" s="91">
        <f t="shared" si="8"/>
        <v>0</v>
      </c>
      <c r="U25" s="101"/>
      <c r="V25" s="61">
        <f t="shared" si="0"/>
        <v>25000</v>
      </c>
      <c r="W25" s="61">
        <f t="shared" si="9"/>
        <v>25000</v>
      </c>
    </row>
    <row r="26" spans="1:23" x14ac:dyDescent="0.25">
      <c r="A26" s="73">
        <f t="shared" si="2"/>
        <v>19</v>
      </c>
      <c r="B26" s="85"/>
      <c r="C26" s="125">
        <v>46175.40625</v>
      </c>
      <c r="D26" s="126">
        <v>1.9510000000000001</v>
      </c>
      <c r="E26" s="126">
        <v>1.9510000000000001</v>
      </c>
      <c r="F26" s="126">
        <v>1.9510000000000001</v>
      </c>
      <c r="G26" s="126">
        <v>1.9510000000000001</v>
      </c>
      <c r="H26" s="124">
        <v>10627164</v>
      </c>
      <c r="I26" s="129">
        <f t="shared" si="1"/>
        <v>1.9510000000000001</v>
      </c>
      <c r="K26" s="86">
        <f t="shared" si="3"/>
        <v>-9.6446700507614169E-3</v>
      </c>
      <c r="L26" s="87">
        <f t="shared" si="4"/>
        <v>10627.164000000001</v>
      </c>
      <c r="M26" s="67">
        <f t="shared" si="5"/>
        <v>18</v>
      </c>
      <c r="N26" s="68">
        <f t="shared" si="11"/>
        <v>1.9510000000000001</v>
      </c>
      <c r="O26" s="92">
        <f t="shared" si="10"/>
        <v>12690.35532994924</v>
      </c>
      <c r="P26" s="61">
        <f t="shared" si="12"/>
        <v>25000</v>
      </c>
      <c r="Q26" s="93">
        <f t="shared" si="6"/>
        <v>0</v>
      </c>
      <c r="R26" s="61">
        <f t="shared" si="13"/>
        <v>24758.883248730966</v>
      </c>
      <c r="S26" s="100">
        <f t="shared" si="7"/>
        <v>241.11675126903356</v>
      </c>
      <c r="T26" s="91">
        <f t="shared" si="8"/>
        <v>0</v>
      </c>
      <c r="U26" s="101"/>
      <c r="V26" s="61">
        <f t="shared" si="0"/>
        <v>24758.883248730966</v>
      </c>
      <c r="W26" s="61">
        <f t="shared" si="9"/>
        <v>24758.883248730966</v>
      </c>
    </row>
    <row r="27" spans="1:23" x14ac:dyDescent="0.25">
      <c r="A27" s="73">
        <f t="shared" si="2"/>
        <v>20</v>
      </c>
      <c r="B27" s="85"/>
      <c r="C27" s="127">
        <v>46175.520833333343</v>
      </c>
      <c r="D27" s="128">
        <v>1.98</v>
      </c>
      <c r="E27" s="128">
        <v>1.98</v>
      </c>
      <c r="F27" s="128">
        <v>1.98</v>
      </c>
      <c r="G27" s="128">
        <v>1.98</v>
      </c>
      <c r="H27" s="124">
        <v>15961776</v>
      </c>
      <c r="I27" s="129">
        <f t="shared" si="1"/>
        <v>1.98</v>
      </c>
      <c r="K27" s="86">
        <f t="shared" si="3"/>
        <v>1.4864172219374527E-2</v>
      </c>
      <c r="L27" s="87">
        <f t="shared" si="4"/>
        <v>15961.776</v>
      </c>
      <c r="M27" s="67">
        <f t="shared" si="5"/>
        <v>19</v>
      </c>
      <c r="N27" s="68">
        <f t="shared" si="11"/>
        <v>1.98</v>
      </c>
      <c r="O27" s="92">
        <f t="shared" si="10"/>
        <v>12690.35532994924</v>
      </c>
      <c r="P27" s="61">
        <f t="shared" si="12"/>
        <v>25000</v>
      </c>
      <c r="Q27" s="93">
        <f t="shared" si="6"/>
        <v>0</v>
      </c>
      <c r="R27" s="61">
        <f t="shared" si="13"/>
        <v>25126.903553299493</v>
      </c>
      <c r="S27" s="100">
        <f t="shared" si="7"/>
        <v>-126.90355329949307</v>
      </c>
      <c r="T27" s="91">
        <f t="shared" si="8"/>
        <v>0</v>
      </c>
      <c r="U27" s="101"/>
      <c r="V27" s="61">
        <f t="shared" si="0"/>
        <v>25126.903553299493</v>
      </c>
      <c r="W27" s="61">
        <f t="shared" si="9"/>
        <v>25126.903553299493</v>
      </c>
    </row>
    <row r="28" spans="1:23" x14ac:dyDescent="0.25">
      <c r="A28" s="73">
        <f t="shared" si="2"/>
        <v>21</v>
      </c>
      <c r="B28" s="85"/>
      <c r="C28" s="125">
        <v>46175.541666666657</v>
      </c>
      <c r="D28" s="126">
        <v>1.98</v>
      </c>
      <c r="E28" s="126">
        <v>1.98</v>
      </c>
      <c r="F28" s="126">
        <v>1.98</v>
      </c>
      <c r="G28" s="126">
        <v>1.98</v>
      </c>
      <c r="H28" s="124">
        <v>10544695</v>
      </c>
      <c r="I28" s="129">
        <f t="shared" si="1"/>
        <v>1.98</v>
      </c>
      <c r="K28" s="86">
        <f t="shared" si="3"/>
        <v>0</v>
      </c>
      <c r="L28" s="87">
        <f t="shared" si="4"/>
        <v>10544.695</v>
      </c>
      <c r="M28" s="67">
        <f t="shared" si="5"/>
        <v>20</v>
      </c>
      <c r="N28" s="68">
        <f t="shared" si="11"/>
        <v>1.98</v>
      </c>
      <c r="O28" s="92">
        <f t="shared" si="10"/>
        <v>12690.35532994924</v>
      </c>
      <c r="P28" s="61">
        <f t="shared" si="12"/>
        <v>25000</v>
      </c>
      <c r="Q28" s="93">
        <f t="shared" si="6"/>
        <v>0</v>
      </c>
      <c r="R28" s="61">
        <f t="shared" si="13"/>
        <v>25126.903553299493</v>
      </c>
      <c r="S28" s="100">
        <f t="shared" si="7"/>
        <v>-126.90355329949307</v>
      </c>
      <c r="T28" s="91">
        <f t="shared" si="8"/>
        <v>0</v>
      </c>
      <c r="U28" s="101"/>
      <c r="V28" s="61">
        <f t="shared" si="0"/>
        <v>25126.903553299493</v>
      </c>
      <c r="W28" s="61">
        <f t="shared" si="9"/>
        <v>25126.903553299493</v>
      </c>
    </row>
    <row r="29" spans="1:23" x14ac:dyDescent="0.25">
      <c r="A29" s="73">
        <f t="shared" si="2"/>
        <v>22</v>
      </c>
      <c r="B29" s="85"/>
      <c r="C29" s="127">
        <v>46175.5625</v>
      </c>
      <c r="D29" s="128">
        <v>1.98</v>
      </c>
      <c r="E29" s="128">
        <v>1.99</v>
      </c>
      <c r="F29" s="128">
        <v>1.98</v>
      </c>
      <c r="G29" s="128">
        <v>1.99</v>
      </c>
      <c r="H29" s="124">
        <v>17422802</v>
      </c>
      <c r="I29" s="129">
        <f t="shared" si="1"/>
        <v>1.99</v>
      </c>
      <c r="K29" s="86">
        <f t="shared" si="3"/>
        <v>5.050505050504972E-3</v>
      </c>
      <c r="L29" s="87">
        <f t="shared" si="4"/>
        <v>17422.802</v>
      </c>
      <c r="M29" s="67">
        <f t="shared" si="5"/>
        <v>21</v>
      </c>
      <c r="N29" s="68">
        <f t="shared" si="11"/>
        <v>1.99</v>
      </c>
      <c r="O29" s="92">
        <f t="shared" si="10"/>
        <v>12690.35532994924</v>
      </c>
      <c r="P29" s="61">
        <f t="shared" si="12"/>
        <v>25000</v>
      </c>
      <c r="Q29" s="93">
        <f t="shared" si="6"/>
        <v>0</v>
      </c>
      <c r="R29" s="61">
        <f t="shared" si="13"/>
        <v>25253.807106598986</v>
      </c>
      <c r="S29" s="100">
        <f t="shared" si="7"/>
        <v>-253.80710659898614</v>
      </c>
      <c r="T29" s="91">
        <f t="shared" si="8"/>
        <v>0</v>
      </c>
      <c r="U29" s="101"/>
      <c r="V29" s="61">
        <f t="shared" si="0"/>
        <v>25253.807106598986</v>
      </c>
      <c r="W29" s="61">
        <f t="shared" si="9"/>
        <v>25253.807106598986</v>
      </c>
    </row>
    <row r="30" spans="1:23" x14ac:dyDescent="0.25">
      <c r="A30" s="73">
        <f t="shared" si="2"/>
        <v>23</v>
      </c>
      <c r="B30" s="85"/>
      <c r="C30" s="125">
        <v>46175.59375</v>
      </c>
      <c r="D30" s="126">
        <v>2</v>
      </c>
      <c r="E30" s="126">
        <v>2</v>
      </c>
      <c r="F30" s="126">
        <v>2</v>
      </c>
      <c r="G30" s="126">
        <v>2</v>
      </c>
      <c r="H30" s="124">
        <v>14306825</v>
      </c>
      <c r="I30" s="129">
        <f t="shared" si="1"/>
        <v>2</v>
      </c>
      <c r="K30" s="86">
        <f t="shared" si="3"/>
        <v>5.0251256281406143E-3</v>
      </c>
      <c r="L30" s="87">
        <f t="shared" si="4"/>
        <v>14306.825000000001</v>
      </c>
      <c r="M30" s="67">
        <f t="shared" si="5"/>
        <v>22</v>
      </c>
      <c r="N30" s="68">
        <f t="shared" si="11"/>
        <v>2</v>
      </c>
      <c r="O30" s="92">
        <f t="shared" si="10"/>
        <v>12690.35532994924</v>
      </c>
      <c r="P30" s="61">
        <f t="shared" si="12"/>
        <v>25000</v>
      </c>
      <c r="Q30" s="93">
        <f t="shared" si="6"/>
        <v>0</v>
      </c>
      <c r="R30" s="61">
        <f t="shared" si="13"/>
        <v>25380.710659898479</v>
      </c>
      <c r="S30" s="100">
        <f t="shared" si="7"/>
        <v>-380.71065989847921</v>
      </c>
      <c r="T30" s="91">
        <f t="shared" si="8"/>
        <v>0</v>
      </c>
      <c r="U30" s="101"/>
      <c r="V30" s="61">
        <f t="shared" si="0"/>
        <v>25380.710659898479</v>
      </c>
      <c r="W30" s="61">
        <f t="shared" si="9"/>
        <v>25380.710659898479</v>
      </c>
    </row>
    <row r="31" spans="1:23" x14ac:dyDescent="0.25">
      <c r="A31" s="73">
        <f t="shared" si="2"/>
        <v>24</v>
      </c>
      <c r="B31" s="85"/>
      <c r="C31" s="127">
        <v>46175.604166666657</v>
      </c>
      <c r="D31" s="128">
        <v>2</v>
      </c>
      <c r="E31" s="128">
        <v>2</v>
      </c>
      <c r="F31" s="128">
        <v>2</v>
      </c>
      <c r="G31" s="128">
        <v>2</v>
      </c>
      <c r="H31" s="124">
        <v>20878001</v>
      </c>
      <c r="I31" s="129">
        <f t="shared" si="1"/>
        <v>2</v>
      </c>
      <c r="K31" s="86">
        <f t="shared" si="3"/>
        <v>0</v>
      </c>
      <c r="L31" s="87">
        <f t="shared" si="4"/>
        <v>20878.001</v>
      </c>
      <c r="M31" s="67">
        <f t="shared" si="5"/>
        <v>23</v>
      </c>
      <c r="N31" s="68">
        <f t="shared" si="11"/>
        <v>2</v>
      </c>
      <c r="O31" s="92">
        <f t="shared" si="10"/>
        <v>12690.35532994924</v>
      </c>
      <c r="P31" s="61">
        <f t="shared" si="12"/>
        <v>25000</v>
      </c>
      <c r="Q31" s="93">
        <f t="shared" si="6"/>
        <v>0</v>
      </c>
      <c r="R31" s="61">
        <f t="shared" si="13"/>
        <v>25380.710659898479</v>
      </c>
      <c r="S31" s="100">
        <f t="shared" si="7"/>
        <v>-380.71065989847921</v>
      </c>
      <c r="T31" s="91">
        <f t="shared" si="8"/>
        <v>0</v>
      </c>
      <c r="U31" s="101"/>
      <c r="V31" s="61">
        <f t="shared" si="0"/>
        <v>25380.710659898479</v>
      </c>
      <c r="W31" s="61">
        <f t="shared" si="9"/>
        <v>25380.710659898479</v>
      </c>
    </row>
    <row r="32" spans="1:23" x14ac:dyDescent="0.25">
      <c r="A32" s="73">
        <f t="shared" si="2"/>
        <v>25</v>
      </c>
      <c r="C32" s="125">
        <v>46175.614583333343</v>
      </c>
      <c r="D32" s="126">
        <v>2</v>
      </c>
      <c r="E32" s="126">
        <v>2.0099999999999998</v>
      </c>
      <c r="F32" s="126">
        <v>2</v>
      </c>
      <c r="G32" s="126">
        <v>2.0001000000000002</v>
      </c>
      <c r="H32" s="124">
        <v>10040465</v>
      </c>
      <c r="I32" s="129">
        <f t="shared" si="1"/>
        <v>2.0001000000000002</v>
      </c>
      <c r="K32" s="86">
        <f t="shared" si="3"/>
        <v>5.0000000000105516E-5</v>
      </c>
      <c r="L32" s="87">
        <f t="shared" si="4"/>
        <v>10040.465</v>
      </c>
      <c r="M32" s="67">
        <f t="shared" si="5"/>
        <v>24</v>
      </c>
      <c r="N32" s="68">
        <f t="shared" si="11"/>
        <v>2.0001000000000002</v>
      </c>
      <c r="O32" s="92">
        <f t="shared" si="10"/>
        <v>12690.35532994924</v>
      </c>
      <c r="P32" s="61">
        <f t="shared" si="12"/>
        <v>25000</v>
      </c>
      <c r="Q32" s="93">
        <f t="shared" si="6"/>
        <v>0</v>
      </c>
      <c r="R32" s="61">
        <f t="shared" si="13"/>
        <v>25381.979695431477</v>
      </c>
      <c r="S32" s="100">
        <f t="shared" si="7"/>
        <v>-381.97969543147701</v>
      </c>
      <c r="T32" s="91">
        <f t="shared" si="8"/>
        <v>0</v>
      </c>
      <c r="U32" s="101"/>
      <c r="V32" s="61">
        <f t="shared" si="0"/>
        <v>25381.979695431477</v>
      </c>
      <c r="W32" s="61">
        <f t="shared" si="9"/>
        <v>25381.979695431477</v>
      </c>
    </row>
    <row r="33" spans="1:23" x14ac:dyDescent="0.25">
      <c r="A33" s="73">
        <f t="shared" si="2"/>
        <v>26</v>
      </c>
      <c r="C33" s="127">
        <v>46175.625</v>
      </c>
      <c r="D33" s="128">
        <v>2.0099999999999998</v>
      </c>
      <c r="E33" s="128">
        <v>2.0099999999999998</v>
      </c>
      <c r="F33" s="128">
        <v>2</v>
      </c>
      <c r="G33" s="128">
        <v>2.0049999999999999</v>
      </c>
      <c r="H33" s="124">
        <v>16233593</v>
      </c>
      <c r="I33" s="129">
        <f t="shared" si="1"/>
        <v>2.0049999999999999</v>
      </c>
      <c r="K33" s="86">
        <f t="shared" si="3"/>
        <v>2.4498775061245759E-3</v>
      </c>
      <c r="L33" s="87">
        <f t="shared" si="4"/>
        <v>16233.593000000001</v>
      </c>
      <c r="M33" s="67">
        <f t="shared" si="5"/>
        <v>25</v>
      </c>
      <c r="N33" s="68">
        <f t="shared" ref="N33:N96" si="14">I33</f>
        <v>2.0049999999999999</v>
      </c>
      <c r="O33" s="92">
        <f t="shared" si="10"/>
        <v>12690.35532994924</v>
      </c>
      <c r="P33" s="61">
        <f t="shared" si="12"/>
        <v>25000</v>
      </c>
      <c r="Q33" s="93">
        <f t="shared" ref="Q33:Q96" si="15">Q32*(1+Int)-T33</f>
        <v>0</v>
      </c>
      <c r="R33" s="61">
        <f t="shared" ref="R33:R96" si="16">Price*O32</f>
        <v>25444.162436548224</v>
      </c>
      <c r="S33" s="100">
        <f t="shared" ref="S33:S96" si="17">P32-SV</f>
        <v>-444.16243654822392</v>
      </c>
      <c r="T33" s="91">
        <f t="shared" si="8"/>
        <v>0</v>
      </c>
      <c r="U33" s="101"/>
      <c r="V33" s="61">
        <f t="shared" si="0"/>
        <v>25444.162436548224</v>
      </c>
      <c r="W33" s="61">
        <f t="shared" si="9"/>
        <v>25444.162436548224</v>
      </c>
    </row>
    <row r="34" spans="1:23" x14ac:dyDescent="0.25">
      <c r="A34" s="73">
        <f t="shared" si="2"/>
        <v>27</v>
      </c>
      <c r="C34" s="125">
        <v>46175.635416666657</v>
      </c>
      <c r="D34" s="126">
        <v>2.0049999999999999</v>
      </c>
      <c r="E34" s="126">
        <v>2.0049999999999999</v>
      </c>
      <c r="F34" s="126">
        <v>2.0049999999999999</v>
      </c>
      <c r="G34" s="126">
        <v>2.0049999999999999</v>
      </c>
      <c r="H34" s="124">
        <v>20762307</v>
      </c>
      <c r="I34" s="129">
        <f t="shared" si="1"/>
        <v>2.0049999999999999</v>
      </c>
      <c r="K34" s="86">
        <f t="shared" si="3"/>
        <v>0</v>
      </c>
      <c r="L34" s="87">
        <f t="shared" si="4"/>
        <v>20762.307000000001</v>
      </c>
      <c r="M34" s="67">
        <f t="shared" si="5"/>
        <v>26</v>
      </c>
      <c r="N34" s="68">
        <f t="shared" si="14"/>
        <v>2.0049999999999999</v>
      </c>
      <c r="O34" s="92">
        <f t="shared" si="10"/>
        <v>12690.35532994924</v>
      </c>
      <c r="P34" s="61">
        <f t="shared" si="12"/>
        <v>25000</v>
      </c>
      <c r="Q34" s="93">
        <f t="shared" si="15"/>
        <v>0</v>
      </c>
      <c r="R34" s="61">
        <f t="shared" si="16"/>
        <v>25444.162436548224</v>
      </c>
      <c r="S34" s="100">
        <f t="shared" si="17"/>
        <v>-444.16243654822392</v>
      </c>
      <c r="T34" s="91">
        <f t="shared" si="8"/>
        <v>0</v>
      </c>
      <c r="U34" s="101"/>
      <c r="V34" s="61">
        <f t="shared" si="0"/>
        <v>25444.162436548224</v>
      </c>
      <c r="W34" s="61">
        <f t="shared" si="9"/>
        <v>25444.162436548224</v>
      </c>
    </row>
    <row r="35" spans="1:23" x14ac:dyDescent="0.25">
      <c r="A35" s="73">
        <f t="shared" si="2"/>
        <v>28</v>
      </c>
      <c r="C35" s="127">
        <v>46175.645833333343</v>
      </c>
      <c r="D35" s="128">
        <v>2.0049999999999999</v>
      </c>
      <c r="E35" s="128">
        <v>2.0099999999999998</v>
      </c>
      <c r="F35" s="128">
        <v>2</v>
      </c>
      <c r="G35" s="128">
        <v>2</v>
      </c>
      <c r="H35" s="124">
        <v>24230189</v>
      </c>
      <c r="I35" s="129">
        <f t="shared" si="1"/>
        <v>2</v>
      </c>
      <c r="K35" s="86">
        <f t="shared" si="3"/>
        <v>-2.4937655860348684E-3</v>
      </c>
      <c r="L35" s="87">
        <f t="shared" si="4"/>
        <v>24230.188999999998</v>
      </c>
      <c r="M35" s="67">
        <f t="shared" si="5"/>
        <v>27</v>
      </c>
      <c r="N35" s="68">
        <f t="shared" si="14"/>
        <v>2</v>
      </c>
      <c r="O35" s="92">
        <f t="shared" si="10"/>
        <v>12690.35532994924</v>
      </c>
      <c r="P35" s="61">
        <f t="shared" si="12"/>
        <v>25000</v>
      </c>
      <c r="Q35" s="93">
        <f t="shared" si="15"/>
        <v>0</v>
      </c>
      <c r="R35" s="61">
        <f t="shared" si="16"/>
        <v>25380.710659898479</v>
      </c>
      <c r="S35" s="100">
        <f t="shared" si="17"/>
        <v>-380.71065989847921</v>
      </c>
      <c r="T35" s="91">
        <f t="shared" si="8"/>
        <v>0</v>
      </c>
      <c r="U35" s="101"/>
      <c r="V35" s="61">
        <f t="shared" si="0"/>
        <v>25380.710659898479</v>
      </c>
      <c r="W35" s="61">
        <f t="shared" si="9"/>
        <v>25380.710659898479</v>
      </c>
    </row>
    <row r="36" spans="1:23" x14ac:dyDescent="0.25">
      <c r="A36" s="73">
        <f t="shared" si="2"/>
        <v>29</v>
      </c>
      <c r="C36" s="125">
        <v>46175.65625</v>
      </c>
      <c r="D36" s="126">
        <v>2.0049999999999999</v>
      </c>
      <c r="E36" s="126">
        <v>2.0049999999999999</v>
      </c>
      <c r="F36" s="126">
        <v>2.0049999999999999</v>
      </c>
      <c r="G36" s="126">
        <v>2.0049999999999999</v>
      </c>
      <c r="H36" s="124">
        <v>12425108</v>
      </c>
      <c r="I36" s="129">
        <f t="shared" si="1"/>
        <v>2.0049999999999999</v>
      </c>
      <c r="K36" s="86">
        <f t="shared" si="3"/>
        <v>2.4999999999999467E-3</v>
      </c>
      <c r="L36" s="87">
        <f t="shared" si="4"/>
        <v>12425.108</v>
      </c>
      <c r="M36" s="67">
        <f t="shared" si="5"/>
        <v>28</v>
      </c>
      <c r="N36" s="68">
        <f t="shared" si="14"/>
        <v>2.0049999999999999</v>
      </c>
      <c r="O36" s="92">
        <f t="shared" si="10"/>
        <v>12690.35532994924</v>
      </c>
      <c r="P36" s="61">
        <f t="shared" si="12"/>
        <v>25000</v>
      </c>
      <c r="Q36" s="93">
        <f t="shared" si="15"/>
        <v>0</v>
      </c>
      <c r="R36" s="61">
        <f t="shared" si="16"/>
        <v>25444.162436548224</v>
      </c>
      <c r="S36" s="100">
        <f t="shared" si="17"/>
        <v>-444.16243654822392</v>
      </c>
      <c r="T36" s="91">
        <f t="shared" si="8"/>
        <v>0</v>
      </c>
      <c r="U36" s="101"/>
      <c r="V36" s="61">
        <f t="shared" si="0"/>
        <v>25444.162436548224</v>
      </c>
      <c r="W36" s="61">
        <f t="shared" si="9"/>
        <v>25444.162436548224</v>
      </c>
    </row>
    <row r="37" spans="1:23" x14ac:dyDescent="0.25">
      <c r="A37" s="73">
        <f t="shared" si="2"/>
        <v>30</v>
      </c>
      <c r="C37" s="127">
        <v>46175.71875</v>
      </c>
      <c r="D37" s="128">
        <v>1.97</v>
      </c>
      <c r="E37" s="128">
        <v>1.97</v>
      </c>
      <c r="F37" s="128">
        <v>1.97</v>
      </c>
      <c r="G37" s="128">
        <v>1.97</v>
      </c>
      <c r="H37" s="124">
        <v>18655856</v>
      </c>
      <c r="I37" s="129">
        <f t="shared" si="1"/>
        <v>1.97</v>
      </c>
      <c r="K37" s="86">
        <f t="shared" si="3"/>
        <v>-1.7456359102244301E-2</v>
      </c>
      <c r="L37" s="87">
        <f t="shared" si="4"/>
        <v>18655.856</v>
      </c>
      <c r="M37" s="67">
        <f t="shared" si="5"/>
        <v>29</v>
      </c>
      <c r="N37" s="68">
        <f t="shared" si="14"/>
        <v>1.97</v>
      </c>
      <c r="O37" s="92">
        <f t="shared" si="10"/>
        <v>12690.35532994924</v>
      </c>
      <c r="P37" s="61">
        <f t="shared" si="12"/>
        <v>25000</v>
      </c>
      <c r="Q37" s="93">
        <f t="shared" si="15"/>
        <v>0</v>
      </c>
      <c r="R37" s="61">
        <f t="shared" si="16"/>
        <v>25000</v>
      </c>
      <c r="S37" s="100">
        <f t="shared" si="17"/>
        <v>0</v>
      </c>
      <c r="T37" s="91">
        <f t="shared" si="8"/>
        <v>0</v>
      </c>
      <c r="U37" s="101"/>
      <c r="V37" s="61">
        <f t="shared" si="0"/>
        <v>25000</v>
      </c>
      <c r="W37" s="61">
        <f t="shared" si="9"/>
        <v>25000</v>
      </c>
    </row>
    <row r="38" spans="1:23" x14ac:dyDescent="0.25">
      <c r="A38" s="73">
        <f t="shared" si="2"/>
        <v>31</v>
      </c>
      <c r="C38" s="125">
        <v>46175.75</v>
      </c>
      <c r="D38" s="126">
        <v>1.9</v>
      </c>
      <c r="E38" s="126">
        <v>1.9</v>
      </c>
      <c r="F38" s="126">
        <v>1.9</v>
      </c>
      <c r="G38" s="126">
        <v>1.9</v>
      </c>
      <c r="H38" s="124">
        <v>11921580</v>
      </c>
      <c r="I38" s="129">
        <f t="shared" si="1"/>
        <v>1.9</v>
      </c>
      <c r="K38" s="86">
        <f t="shared" si="3"/>
        <v>-3.5532994923857864E-2</v>
      </c>
      <c r="L38" s="87">
        <f t="shared" si="4"/>
        <v>11921.58</v>
      </c>
      <c r="M38" s="67">
        <f t="shared" si="5"/>
        <v>30</v>
      </c>
      <c r="N38" s="68">
        <f t="shared" si="14"/>
        <v>1.9</v>
      </c>
      <c r="O38" s="92">
        <f t="shared" si="10"/>
        <v>12904.087630243121</v>
      </c>
      <c r="P38" s="61">
        <f t="shared" si="12"/>
        <v>25304.568527918778</v>
      </c>
      <c r="Q38" s="93">
        <f t="shared" si="15"/>
        <v>-406.09137055837306</v>
      </c>
      <c r="R38" s="61">
        <f t="shared" si="16"/>
        <v>24111.675126903556</v>
      </c>
      <c r="S38" s="100">
        <f t="shared" si="17"/>
        <v>888.32487309644421</v>
      </c>
      <c r="T38" s="91">
        <f t="shared" si="8"/>
        <v>406.09137055837306</v>
      </c>
      <c r="U38" s="101"/>
      <c r="V38" s="61">
        <f t="shared" si="0"/>
        <v>24111.675126903556</v>
      </c>
      <c r="W38" s="61">
        <f t="shared" si="9"/>
        <v>24111.675126903556</v>
      </c>
    </row>
    <row r="39" spans="1:23" x14ac:dyDescent="0.25">
      <c r="A39" s="73">
        <f t="shared" si="2"/>
        <v>32</v>
      </c>
      <c r="C39" s="127">
        <v>46176.395833333343</v>
      </c>
      <c r="D39" s="128">
        <v>1.97</v>
      </c>
      <c r="E39" s="128">
        <v>1.97</v>
      </c>
      <c r="F39" s="128">
        <v>1.97</v>
      </c>
      <c r="G39" s="128">
        <v>1.97</v>
      </c>
      <c r="H39" s="124">
        <v>18924077</v>
      </c>
      <c r="I39" s="129">
        <f t="shared" si="1"/>
        <v>1.97</v>
      </c>
      <c r="K39" s="86">
        <f t="shared" si="3"/>
        <v>3.6842105263158009E-2</v>
      </c>
      <c r="L39" s="87">
        <f t="shared" si="4"/>
        <v>18924.077000000001</v>
      </c>
      <c r="M39" s="67">
        <f t="shared" si="5"/>
        <v>31</v>
      </c>
      <c r="N39" s="68">
        <f t="shared" si="14"/>
        <v>1.97</v>
      </c>
      <c r="O39" s="92">
        <f t="shared" si="10"/>
        <v>12904.087630243121</v>
      </c>
      <c r="P39" s="61">
        <f t="shared" si="12"/>
        <v>25304.568527918778</v>
      </c>
      <c r="Q39" s="93">
        <f t="shared" si="15"/>
        <v>-406.92785229231936</v>
      </c>
      <c r="R39" s="61">
        <f t="shared" si="16"/>
        <v>25421.052631578947</v>
      </c>
      <c r="S39" s="100">
        <f t="shared" si="17"/>
        <v>-116.48410366016833</v>
      </c>
      <c r="T39" s="91">
        <f t="shared" si="8"/>
        <v>0</v>
      </c>
      <c r="U39" s="101"/>
      <c r="V39" s="61">
        <f t="shared" si="0"/>
        <v>25014.124779286627</v>
      </c>
      <c r="W39" s="61">
        <f t="shared" si="9"/>
        <v>25000</v>
      </c>
    </row>
    <row r="40" spans="1:23" x14ac:dyDescent="0.25">
      <c r="A40" s="73">
        <f t="shared" si="2"/>
        <v>33</v>
      </c>
      <c r="C40" s="125">
        <v>46176.40625</v>
      </c>
      <c r="D40" s="126">
        <v>1.99</v>
      </c>
      <c r="E40" s="126">
        <v>1.9950000000000001</v>
      </c>
      <c r="F40" s="126">
        <v>1.99</v>
      </c>
      <c r="G40" s="126">
        <v>1.9950000000000001</v>
      </c>
      <c r="H40" s="124">
        <v>14104118</v>
      </c>
      <c r="I40" s="129">
        <f t="shared" si="1"/>
        <v>1.9950000000000001</v>
      </c>
      <c r="K40" s="86">
        <f t="shared" si="3"/>
        <v>1.2690355329949332E-2</v>
      </c>
      <c r="L40" s="87">
        <f t="shared" si="4"/>
        <v>14104.118</v>
      </c>
      <c r="M40" s="67">
        <f t="shared" si="5"/>
        <v>32</v>
      </c>
      <c r="N40" s="68">
        <f t="shared" si="14"/>
        <v>1.9950000000000001</v>
      </c>
      <c r="O40" s="92">
        <f t="shared" si="10"/>
        <v>12904.087630243121</v>
      </c>
      <c r="P40" s="61">
        <f t="shared" si="12"/>
        <v>25304.568527918778</v>
      </c>
      <c r="Q40" s="93">
        <f t="shared" si="15"/>
        <v>-407.76605704168031</v>
      </c>
      <c r="R40" s="61">
        <f t="shared" si="16"/>
        <v>25743.654822335026</v>
      </c>
      <c r="S40" s="100">
        <f t="shared" si="17"/>
        <v>-439.08629441624726</v>
      </c>
      <c r="T40" s="91">
        <f t="shared" si="8"/>
        <v>0</v>
      </c>
      <c r="U40" s="101"/>
      <c r="V40" s="61">
        <f t="shared" si="0"/>
        <v>25335.888765293344</v>
      </c>
      <c r="W40" s="61">
        <f t="shared" si="9"/>
        <v>25317.258883248734</v>
      </c>
    </row>
    <row r="41" spans="1:23" x14ac:dyDescent="0.25">
      <c r="A41" s="73">
        <f t="shared" si="2"/>
        <v>34</v>
      </c>
      <c r="C41" s="127">
        <v>46176.416666666657</v>
      </c>
      <c r="D41" s="128">
        <v>2.0038999999999998</v>
      </c>
      <c r="E41" s="128">
        <v>2.0038999999999998</v>
      </c>
      <c r="F41" s="128">
        <v>2.0038999999999998</v>
      </c>
      <c r="G41" s="128">
        <v>2.0038999999999998</v>
      </c>
      <c r="H41" s="124">
        <v>20497007</v>
      </c>
      <c r="I41" s="129">
        <f t="shared" si="1"/>
        <v>2.0038999999999998</v>
      </c>
      <c r="K41" s="86">
        <f t="shared" si="3"/>
        <v>4.4611528822053881E-3</v>
      </c>
      <c r="L41" s="87">
        <f t="shared" si="4"/>
        <v>20497.007000000001</v>
      </c>
      <c r="M41" s="67">
        <f t="shared" si="5"/>
        <v>33</v>
      </c>
      <c r="N41" s="68">
        <f t="shared" si="14"/>
        <v>2.0038999999999998</v>
      </c>
      <c r="O41" s="92">
        <f t="shared" si="10"/>
        <v>12904.087630243121</v>
      </c>
      <c r="P41" s="61">
        <f t="shared" si="12"/>
        <v>25304.568527918778</v>
      </c>
      <c r="Q41" s="93">
        <f t="shared" si="15"/>
        <v>-408.60598835558551</v>
      </c>
      <c r="R41" s="61">
        <f t="shared" si="16"/>
        <v>25858.501202244188</v>
      </c>
      <c r="S41" s="100">
        <f t="shared" si="17"/>
        <v>-553.93267432540961</v>
      </c>
      <c r="T41" s="91">
        <f t="shared" si="8"/>
        <v>0</v>
      </c>
      <c r="U41" s="101"/>
      <c r="V41" s="61">
        <f t="shared" si="0"/>
        <v>25449.895213888602</v>
      </c>
      <c r="W41" s="61">
        <f t="shared" si="9"/>
        <v>25430.203045685277</v>
      </c>
    </row>
    <row r="42" spans="1:23" x14ac:dyDescent="0.25">
      <c r="A42" s="73">
        <f t="shared" si="2"/>
        <v>35</v>
      </c>
      <c r="C42" s="125">
        <v>46176.427083333343</v>
      </c>
      <c r="D42" s="126">
        <v>1.98</v>
      </c>
      <c r="E42" s="126">
        <v>1.98</v>
      </c>
      <c r="F42" s="126">
        <v>1.98</v>
      </c>
      <c r="G42" s="126">
        <v>1.98</v>
      </c>
      <c r="H42" s="124">
        <v>9302698</v>
      </c>
      <c r="I42" s="129">
        <f t="shared" si="1"/>
        <v>1.98</v>
      </c>
      <c r="K42" s="86">
        <f t="shared" si="3"/>
        <v>-1.1926742851439576E-2</v>
      </c>
      <c r="L42" s="87">
        <f t="shared" si="4"/>
        <v>9302.6980000000003</v>
      </c>
      <c r="M42" s="67">
        <f t="shared" si="5"/>
        <v>34</v>
      </c>
      <c r="N42" s="68">
        <f t="shared" si="14"/>
        <v>1.98</v>
      </c>
      <c r="O42" s="92">
        <f t="shared" si="10"/>
        <v>12904.087630243121</v>
      </c>
      <c r="P42" s="61">
        <f t="shared" si="12"/>
        <v>25304.568527918778</v>
      </c>
      <c r="Q42" s="93">
        <f t="shared" si="15"/>
        <v>-409.44764979047528</v>
      </c>
      <c r="R42" s="61">
        <f t="shared" si="16"/>
        <v>25550.093507881378</v>
      </c>
      <c r="S42" s="100">
        <f t="shared" si="17"/>
        <v>-245.5249799625999</v>
      </c>
      <c r="T42" s="91">
        <f t="shared" si="8"/>
        <v>0</v>
      </c>
      <c r="U42" s="101"/>
      <c r="V42" s="61">
        <f t="shared" si="0"/>
        <v>25140.645858090902</v>
      </c>
      <c r="W42" s="61">
        <f t="shared" si="9"/>
        <v>25126.903553299493</v>
      </c>
    </row>
    <row r="43" spans="1:23" x14ac:dyDescent="0.25">
      <c r="A43" s="73">
        <f t="shared" si="2"/>
        <v>36</v>
      </c>
      <c r="C43" s="127">
        <v>46176.479166666657</v>
      </c>
      <c r="D43" s="128">
        <v>1.9801</v>
      </c>
      <c r="E43" s="128">
        <v>1.9801</v>
      </c>
      <c r="F43" s="128">
        <v>1.9801</v>
      </c>
      <c r="G43" s="128">
        <v>1.9801</v>
      </c>
      <c r="H43" s="124">
        <v>13181223</v>
      </c>
      <c r="I43" s="129">
        <f t="shared" si="1"/>
        <v>1.9801</v>
      </c>
      <c r="K43" s="86">
        <f t="shared" si="3"/>
        <v>5.0505050505078586E-5</v>
      </c>
      <c r="L43" s="87">
        <f t="shared" si="4"/>
        <v>13181.223</v>
      </c>
      <c r="M43" s="67">
        <f t="shared" si="5"/>
        <v>35</v>
      </c>
      <c r="N43" s="68">
        <f t="shared" si="14"/>
        <v>1.9801</v>
      </c>
      <c r="O43" s="92">
        <f t="shared" si="10"/>
        <v>12904.087630243121</v>
      </c>
      <c r="P43" s="61">
        <f t="shared" si="12"/>
        <v>25304.568527918778</v>
      </c>
      <c r="Q43" s="93">
        <f t="shared" si="15"/>
        <v>-410.29104491011555</v>
      </c>
      <c r="R43" s="61">
        <f t="shared" si="16"/>
        <v>25551.383916644401</v>
      </c>
      <c r="S43" s="100">
        <f t="shared" si="17"/>
        <v>-246.81538872562305</v>
      </c>
      <c r="T43" s="91">
        <f t="shared" si="8"/>
        <v>0</v>
      </c>
      <c r="U43" s="101"/>
      <c r="V43" s="61">
        <f t="shared" si="0"/>
        <v>25141.092871734287</v>
      </c>
      <c r="W43" s="61">
        <f t="shared" si="9"/>
        <v>25128.172588832487</v>
      </c>
    </row>
    <row r="44" spans="1:23" x14ac:dyDescent="0.25">
      <c r="A44" s="73">
        <f t="shared" si="2"/>
        <v>37</v>
      </c>
      <c r="C44" s="125">
        <v>46176.5</v>
      </c>
      <c r="D44" s="126">
        <v>1.98</v>
      </c>
      <c r="E44" s="126">
        <v>1.98</v>
      </c>
      <c r="F44" s="126">
        <v>1.98</v>
      </c>
      <c r="G44" s="126">
        <v>1.98</v>
      </c>
      <c r="H44" s="124">
        <v>12269629</v>
      </c>
      <c r="I44" s="129">
        <f t="shared" si="1"/>
        <v>1.98</v>
      </c>
      <c r="K44" s="86">
        <f t="shared" si="3"/>
        <v>-5.0502499873705808E-5</v>
      </c>
      <c r="L44" s="87">
        <f t="shared" si="4"/>
        <v>12269.629000000001</v>
      </c>
      <c r="M44" s="67">
        <f t="shared" si="5"/>
        <v>36</v>
      </c>
      <c r="N44" s="68">
        <f t="shared" si="14"/>
        <v>1.98</v>
      </c>
      <c r="O44" s="92">
        <f t="shared" si="10"/>
        <v>12904.087630243121</v>
      </c>
      <c r="P44" s="61">
        <f t="shared" si="12"/>
        <v>25304.568527918778</v>
      </c>
      <c r="Q44" s="93">
        <f t="shared" si="15"/>
        <v>-411.13617728561309</v>
      </c>
      <c r="R44" s="61">
        <f t="shared" si="16"/>
        <v>25550.093507881378</v>
      </c>
      <c r="S44" s="100">
        <f t="shared" si="17"/>
        <v>-245.5249799625999</v>
      </c>
      <c r="T44" s="91">
        <f t="shared" si="8"/>
        <v>0</v>
      </c>
      <c r="U44" s="101"/>
      <c r="V44" s="61">
        <f t="shared" si="0"/>
        <v>25138.957330595764</v>
      </c>
      <c r="W44" s="61">
        <f t="shared" si="9"/>
        <v>25126.903553299493</v>
      </c>
    </row>
    <row r="45" spans="1:23" x14ac:dyDescent="0.25">
      <c r="A45" s="73">
        <f t="shared" si="2"/>
        <v>38</v>
      </c>
      <c r="C45" s="127">
        <v>46176.510416666657</v>
      </c>
      <c r="D45" s="128">
        <v>1.98</v>
      </c>
      <c r="E45" s="128">
        <v>1.98</v>
      </c>
      <c r="F45" s="128">
        <v>1.9750000000000001</v>
      </c>
      <c r="G45" s="128">
        <v>1.9750000000000001</v>
      </c>
      <c r="H45" s="124">
        <v>16078157</v>
      </c>
      <c r="I45" s="129">
        <f t="shared" si="1"/>
        <v>1.9750000000000001</v>
      </c>
      <c r="K45" s="86">
        <f t="shared" si="3"/>
        <v>-2.525252525252486E-3</v>
      </c>
      <c r="L45" s="87">
        <f t="shared" si="4"/>
        <v>16078.156999999999</v>
      </c>
      <c r="M45" s="67">
        <f t="shared" si="5"/>
        <v>37</v>
      </c>
      <c r="N45" s="68">
        <f t="shared" si="14"/>
        <v>1.9750000000000001</v>
      </c>
      <c r="O45" s="92">
        <f t="shared" si="10"/>
        <v>12904.087630243121</v>
      </c>
      <c r="P45" s="61">
        <f t="shared" si="12"/>
        <v>25304.568527918778</v>
      </c>
      <c r="Q45" s="93">
        <f t="shared" si="15"/>
        <v>-411.98305049543046</v>
      </c>
      <c r="R45" s="61">
        <f t="shared" si="16"/>
        <v>25485.573069730166</v>
      </c>
      <c r="S45" s="100">
        <f t="shared" si="17"/>
        <v>-181.00454181138775</v>
      </c>
      <c r="T45" s="91">
        <f t="shared" si="8"/>
        <v>0</v>
      </c>
      <c r="U45" s="101"/>
      <c r="V45" s="61">
        <f t="shared" si="0"/>
        <v>25073.590019234736</v>
      </c>
      <c r="W45" s="61">
        <f t="shared" si="9"/>
        <v>25063.451776649748</v>
      </c>
    </row>
    <row r="46" spans="1:23" x14ac:dyDescent="0.25">
      <c r="A46" s="73">
        <f t="shared" si="2"/>
        <v>39</v>
      </c>
      <c r="C46" s="125">
        <v>46176.520833333343</v>
      </c>
      <c r="D46" s="126">
        <v>1.99</v>
      </c>
      <c r="E46" s="126">
        <v>1.99</v>
      </c>
      <c r="F46" s="126">
        <v>1.99</v>
      </c>
      <c r="G46" s="126">
        <v>1.99</v>
      </c>
      <c r="H46" s="124">
        <v>9225622</v>
      </c>
      <c r="I46" s="129">
        <f t="shared" si="1"/>
        <v>1.99</v>
      </c>
      <c r="K46" s="86">
        <f t="shared" si="3"/>
        <v>7.5949367088608E-3</v>
      </c>
      <c r="L46" s="87">
        <f t="shared" si="4"/>
        <v>9225.6219999999994</v>
      </c>
      <c r="M46" s="67">
        <f t="shared" si="5"/>
        <v>38</v>
      </c>
      <c r="N46" s="68">
        <f t="shared" si="14"/>
        <v>1.99</v>
      </c>
      <c r="O46" s="92">
        <f t="shared" si="10"/>
        <v>12904.087630243121</v>
      </c>
      <c r="P46" s="61">
        <f t="shared" si="12"/>
        <v>25304.568527918778</v>
      </c>
      <c r="Q46" s="93">
        <f t="shared" si="15"/>
        <v>-412.83166812540139</v>
      </c>
      <c r="R46" s="61">
        <f t="shared" si="16"/>
        <v>25679.13438418381</v>
      </c>
      <c r="S46" s="100">
        <f t="shared" si="17"/>
        <v>-374.56585626503147</v>
      </c>
      <c r="T46" s="91">
        <f t="shared" si="8"/>
        <v>0</v>
      </c>
      <c r="U46" s="101"/>
      <c r="V46" s="61">
        <f t="shared" si="0"/>
        <v>25266.30271605841</v>
      </c>
      <c r="W46" s="61">
        <f t="shared" si="9"/>
        <v>25253.807106598986</v>
      </c>
    </row>
    <row r="47" spans="1:23" x14ac:dyDescent="0.25">
      <c r="A47" s="73">
        <f t="shared" si="2"/>
        <v>40</v>
      </c>
      <c r="C47" s="127">
        <v>46176.5625</v>
      </c>
      <c r="D47" s="128">
        <v>1.99</v>
      </c>
      <c r="E47" s="128">
        <v>1.99</v>
      </c>
      <c r="F47" s="128">
        <v>1.99</v>
      </c>
      <c r="G47" s="128">
        <v>1.99</v>
      </c>
      <c r="H47" s="124">
        <v>15572779</v>
      </c>
      <c r="I47" s="129">
        <f t="shared" si="1"/>
        <v>1.99</v>
      </c>
      <c r="K47" s="86">
        <f t="shared" si="3"/>
        <v>0</v>
      </c>
      <c r="L47" s="87">
        <f t="shared" si="4"/>
        <v>15572.779</v>
      </c>
      <c r="M47" s="67">
        <f t="shared" si="5"/>
        <v>39</v>
      </c>
      <c r="N47" s="68">
        <f t="shared" si="14"/>
        <v>1.99</v>
      </c>
      <c r="O47" s="92">
        <f t="shared" si="10"/>
        <v>12904.087630243121</v>
      </c>
      <c r="P47" s="61">
        <f t="shared" si="12"/>
        <v>25304.568527918778</v>
      </c>
      <c r="Q47" s="93">
        <f t="shared" si="15"/>
        <v>-413.68203376874578</v>
      </c>
      <c r="R47" s="61">
        <f t="shared" si="16"/>
        <v>25679.13438418381</v>
      </c>
      <c r="S47" s="100">
        <f t="shared" si="17"/>
        <v>-374.56585626503147</v>
      </c>
      <c r="T47" s="91">
        <f t="shared" si="8"/>
        <v>0</v>
      </c>
      <c r="U47" s="101"/>
      <c r="V47" s="61">
        <f t="shared" si="0"/>
        <v>25265.452350415064</v>
      </c>
      <c r="W47" s="61">
        <f t="shared" si="9"/>
        <v>25253.807106598986</v>
      </c>
    </row>
    <row r="48" spans="1:23" x14ac:dyDescent="0.25">
      <c r="A48" s="73">
        <f t="shared" si="2"/>
        <v>41</v>
      </c>
      <c r="C48" s="125">
        <v>46176.572916666657</v>
      </c>
      <c r="D48" s="126">
        <v>1.98</v>
      </c>
      <c r="E48" s="126">
        <v>1.99</v>
      </c>
      <c r="F48" s="126">
        <v>1.98</v>
      </c>
      <c r="G48" s="126">
        <v>1.99</v>
      </c>
      <c r="H48" s="124">
        <v>9663517</v>
      </c>
      <c r="I48" s="129">
        <f t="shared" si="1"/>
        <v>1.99</v>
      </c>
      <c r="K48" s="86">
        <f t="shared" si="3"/>
        <v>0</v>
      </c>
      <c r="L48" s="87">
        <f t="shared" si="4"/>
        <v>9663.5169999999998</v>
      </c>
      <c r="M48" s="67">
        <f t="shared" si="5"/>
        <v>40</v>
      </c>
      <c r="N48" s="68">
        <f t="shared" si="14"/>
        <v>1.99</v>
      </c>
      <c r="O48" s="92">
        <f t="shared" si="10"/>
        <v>12904.087630243121</v>
      </c>
      <c r="P48" s="61">
        <f t="shared" si="12"/>
        <v>25304.568527918778</v>
      </c>
      <c r="Q48" s="93">
        <f t="shared" si="15"/>
        <v>-414.53415102608494</v>
      </c>
      <c r="R48" s="61">
        <f t="shared" si="16"/>
        <v>25679.13438418381</v>
      </c>
      <c r="S48" s="100">
        <f t="shared" si="17"/>
        <v>-374.56585626503147</v>
      </c>
      <c r="T48" s="91">
        <f t="shared" si="8"/>
        <v>0</v>
      </c>
      <c r="U48" s="101"/>
      <c r="V48" s="61">
        <f t="shared" si="0"/>
        <v>25264.600233157726</v>
      </c>
      <c r="W48" s="61">
        <f t="shared" si="9"/>
        <v>25253.807106598986</v>
      </c>
    </row>
    <row r="49" spans="1:23" x14ac:dyDescent="0.25">
      <c r="A49" s="73">
        <f t="shared" si="2"/>
        <v>42</v>
      </c>
      <c r="C49" s="127">
        <v>46176.625</v>
      </c>
      <c r="D49" s="128">
        <v>1.99</v>
      </c>
      <c r="E49" s="128">
        <v>1.99</v>
      </c>
      <c r="F49" s="128">
        <v>1.98</v>
      </c>
      <c r="G49" s="128">
        <v>1.98</v>
      </c>
      <c r="H49" s="124">
        <v>15008719</v>
      </c>
      <c r="I49" s="129">
        <f t="shared" si="1"/>
        <v>1.98</v>
      </c>
      <c r="K49" s="86">
        <f t="shared" si="3"/>
        <v>-5.0251256281407253E-3</v>
      </c>
      <c r="L49" s="87">
        <f t="shared" si="4"/>
        <v>15008.718999999999</v>
      </c>
      <c r="M49" s="67">
        <f t="shared" si="5"/>
        <v>41</v>
      </c>
      <c r="N49" s="68">
        <f t="shared" si="14"/>
        <v>1.98</v>
      </c>
      <c r="O49" s="92">
        <f t="shared" si="10"/>
        <v>12904.087630243121</v>
      </c>
      <c r="P49" s="61">
        <f t="shared" si="12"/>
        <v>25304.568527918778</v>
      </c>
      <c r="Q49" s="93">
        <f t="shared" si="15"/>
        <v>-415.38802350545694</v>
      </c>
      <c r="R49" s="61">
        <f t="shared" si="16"/>
        <v>25550.093507881378</v>
      </c>
      <c r="S49" s="100">
        <f t="shared" si="17"/>
        <v>-245.5249799625999</v>
      </c>
      <c r="T49" s="91">
        <f t="shared" si="8"/>
        <v>0</v>
      </c>
      <c r="U49" s="101"/>
      <c r="V49" s="61">
        <f t="shared" si="0"/>
        <v>25134.705484375922</v>
      </c>
      <c r="W49" s="61">
        <f t="shared" si="9"/>
        <v>25126.903553299493</v>
      </c>
    </row>
    <row r="50" spans="1:23" x14ac:dyDescent="0.25">
      <c r="A50" s="73">
        <f t="shared" si="2"/>
        <v>43</v>
      </c>
      <c r="C50" s="125">
        <v>46176.645833333343</v>
      </c>
      <c r="D50" s="126">
        <v>1.97</v>
      </c>
      <c r="E50" s="126">
        <v>1.9793000000000001</v>
      </c>
      <c r="F50" s="126">
        <v>1.97</v>
      </c>
      <c r="G50" s="126">
        <v>1.9793000000000001</v>
      </c>
      <c r="H50" s="124">
        <v>8996686</v>
      </c>
      <c r="I50" s="129">
        <f t="shared" si="1"/>
        <v>1.9793000000000001</v>
      </c>
      <c r="K50" s="86">
        <f t="shared" si="3"/>
        <v>-3.5353535353532806E-4</v>
      </c>
      <c r="L50" s="87">
        <f t="shared" si="4"/>
        <v>8996.6859999999997</v>
      </c>
      <c r="M50" s="67">
        <f t="shared" si="5"/>
        <v>42</v>
      </c>
      <c r="N50" s="68">
        <f t="shared" si="14"/>
        <v>1.9793000000000001</v>
      </c>
      <c r="O50" s="92">
        <f t="shared" si="10"/>
        <v>12904.087630243121</v>
      </c>
      <c r="P50" s="61">
        <f t="shared" si="12"/>
        <v>25304.568527918778</v>
      </c>
      <c r="Q50" s="93">
        <f t="shared" si="15"/>
        <v>-416.24365482233179</v>
      </c>
      <c r="R50" s="61">
        <f t="shared" si="16"/>
        <v>25541.060646540209</v>
      </c>
      <c r="S50" s="100">
        <f t="shared" si="17"/>
        <v>-236.49211862143056</v>
      </c>
      <c r="T50" s="91">
        <f t="shared" si="8"/>
        <v>0</v>
      </c>
      <c r="U50" s="101"/>
      <c r="V50" s="61">
        <f t="shared" si="0"/>
        <v>25124.816991717878</v>
      </c>
      <c r="W50" s="61">
        <f t="shared" si="9"/>
        <v>25118.02030456853</v>
      </c>
    </row>
    <row r="51" spans="1:23" x14ac:dyDescent="0.25">
      <c r="A51" s="73">
        <f t="shared" si="2"/>
        <v>44</v>
      </c>
      <c r="C51" s="127">
        <v>46176.65625</v>
      </c>
      <c r="D51" s="128">
        <v>1.97</v>
      </c>
      <c r="E51" s="128">
        <v>1.9735929999999999</v>
      </c>
      <c r="F51" s="128">
        <v>1.9650000000000001</v>
      </c>
      <c r="G51" s="128">
        <v>1.9650000000000001</v>
      </c>
      <c r="H51" s="124">
        <v>14099716</v>
      </c>
      <c r="I51" s="129">
        <f t="shared" si="1"/>
        <v>1.9650000000000001</v>
      </c>
      <c r="K51" s="86">
        <f t="shared" si="3"/>
        <v>-7.2247764361137445E-3</v>
      </c>
      <c r="L51" s="87">
        <f t="shared" si="4"/>
        <v>14099.716</v>
      </c>
      <c r="M51" s="67">
        <f t="shared" si="5"/>
        <v>43</v>
      </c>
      <c r="N51" s="68">
        <f t="shared" si="14"/>
        <v>1.9650000000000001</v>
      </c>
      <c r="O51" s="92">
        <f t="shared" si="10"/>
        <v>12904.087630243121</v>
      </c>
      <c r="P51" s="61">
        <f t="shared" si="12"/>
        <v>25304.568527918778</v>
      </c>
      <c r="Q51" s="93">
        <f t="shared" si="15"/>
        <v>-417.10104859962672</v>
      </c>
      <c r="R51" s="61">
        <f t="shared" si="16"/>
        <v>25356.532193427734</v>
      </c>
      <c r="S51" s="100">
        <f t="shared" si="17"/>
        <v>-51.963665508956183</v>
      </c>
      <c r="T51" s="91">
        <f t="shared" si="8"/>
        <v>0</v>
      </c>
      <c r="U51" s="101"/>
      <c r="V51" s="61">
        <f t="shared" si="0"/>
        <v>24939.431144828108</v>
      </c>
      <c r="W51" s="61">
        <f t="shared" si="9"/>
        <v>24936.548223350255</v>
      </c>
    </row>
    <row r="52" spans="1:23" x14ac:dyDescent="0.25">
      <c r="A52" s="73">
        <f t="shared" si="2"/>
        <v>45</v>
      </c>
      <c r="C52" s="125">
        <v>46177.395833333343</v>
      </c>
      <c r="D52" s="126">
        <v>1.95</v>
      </c>
      <c r="E52" s="126">
        <v>1.95</v>
      </c>
      <c r="F52" s="126">
        <v>1.95</v>
      </c>
      <c r="G52" s="126">
        <v>1.95</v>
      </c>
      <c r="H52" s="124">
        <v>6388061</v>
      </c>
      <c r="I52" s="129">
        <f t="shared" si="1"/>
        <v>1.95</v>
      </c>
      <c r="K52" s="86">
        <f t="shared" si="3"/>
        <v>-7.6335877862595547E-3</v>
      </c>
      <c r="L52" s="87">
        <f t="shared" si="4"/>
        <v>6388.0609999999997</v>
      </c>
      <c r="M52" s="67">
        <f t="shared" si="5"/>
        <v>44</v>
      </c>
      <c r="N52" s="68">
        <f t="shared" si="14"/>
        <v>1.95</v>
      </c>
      <c r="O52" s="92">
        <f t="shared" si="10"/>
        <v>12904.087630243121</v>
      </c>
      <c r="P52" s="61">
        <f t="shared" si="12"/>
        <v>25304.568527918778</v>
      </c>
      <c r="Q52" s="93">
        <f t="shared" si="15"/>
        <v>-417.96020846772166</v>
      </c>
      <c r="R52" s="61">
        <f t="shared" si="16"/>
        <v>25162.970878974083</v>
      </c>
      <c r="S52" s="100">
        <f t="shared" si="17"/>
        <v>141.59764894469481</v>
      </c>
      <c r="T52" s="91">
        <f t="shared" si="8"/>
        <v>0</v>
      </c>
      <c r="U52" s="101"/>
      <c r="V52" s="61">
        <f t="shared" si="0"/>
        <v>24745.010670506363</v>
      </c>
      <c r="W52" s="61">
        <f t="shared" si="9"/>
        <v>24746.192893401017</v>
      </c>
    </row>
    <row r="53" spans="1:23" x14ac:dyDescent="0.25">
      <c r="A53" s="73">
        <f t="shared" si="2"/>
        <v>46</v>
      </c>
      <c r="C53" s="127">
        <v>46177.447916666657</v>
      </c>
      <c r="D53" s="128">
        <v>1.99</v>
      </c>
      <c r="E53" s="128">
        <v>1.99</v>
      </c>
      <c r="F53" s="128">
        <v>1.99</v>
      </c>
      <c r="G53" s="128">
        <v>1.99</v>
      </c>
      <c r="H53" s="124">
        <v>13886418</v>
      </c>
      <c r="I53" s="129">
        <f t="shared" si="1"/>
        <v>1.99</v>
      </c>
      <c r="K53" s="86">
        <f t="shared" si="3"/>
        <v>2.051282051282044E-2</v>
      </c>
      <c r="L53" s="87">
        <f t="shared" si="4"/>
        <v>13886.418</v>
      </c>
      <c r="M53" s="67">
        <f t="shared" si="5"/>
        <v>45</v>
      </c>
      <c r="N53" s="68">
        <f t="shared" si="14"/>
        <v>1.99</v>
      </c>
      <c r="O53" s="92">
        <f t="shared" si="10"/>
        <v>12904.087630243121</v>
      </c>
      <c r="P53" s="61">
        <f t="shared" si="12"/>
        <v>25304.568527918778</v>
      </c>
      <c r="Q53" s="93">
        <f t="shared" si="15"/>
        <v>-418.8211380644745</v>
      </c>
      <c r="R53" s="61">
        <f t="shared" si="16"/>
        <v>25679.13438418381</v>
      </c>
      <c r="S53" s="100">
        <f t="shared" si="17"/>
        <v>-374.56585626503147</v>
      </c>
      <c r="T53" s="91">
        <f t="shared" si="8"/>
        <v>0</v>
      </c>
      <c r="U53" s="101"/>
      <c r="V53" s="61">
        <f t="shared" si="0"/>
        <v>25260.313246119335</v>
      </c>
      <c r="W53" s="61">
        <f t="shared" si="9"/>
        <v>25253.807106598986</v>
      </c>
    </row>
    <row r="54" spans="1:23" x14ac:dyDescent="0.25">
      <c r="A54" s="73">
        <f t="shared" si="2"/>
        <v>47</v>
      </c>
      <c r="C54" s="125">
        <v>46177.479166666657</v>
      </c>
      <c r="D54" s="126">
        <v>1.9500999999999999</v>
      </c>
      <c r="E54" s="126">
        <v>1.9500999999999999</v>
      </c>
      <c r="F54" s="126">
        <v>1.9500999999999999</v>
      </c>
      <c r="G54" s="126">
        <v>1.9500999999999999</v>
      </c>
      <c r="H54" s="124">
        <v>17876493</v>
      </c>
      <c r="I54" s="129">
        <f t="shared" si="1"/>
        <v>1.9500999999999999</v>
      </c>
      <c r="K54" s="86">
        <f t="shared" si="3"/>
        <v>-2.0050251256281459E-2</v>
      </c>
      <c r="L54" s="87">
        <f t="shared" si="4"/>
        <v>17876.492999999999</v>
      </c>
      <c r="M54" s="67">
        <f t="shared" si="5"/>
        <v>46</v>
      </c>
      <c r="N54" s="68">
        <f t="shared" si="14"/>
        <v>1.9500999999999999</v>
      </c>
      <c r="O54" s="92">
        <f t="shared" si="10"/>
        <v>12904.087630243121</v>
      </c>
      <c r="P54" s="61">
        <f t="shared" si="12"/>
        <v>25304.568527918778</v>
      </c>
      <c r="Q54" s="93">
        <f t="shared" si="15"/>
        <v>-419.68384103523653</v>
      </c>
      <c r="R54" s="61">
        <f t="shared" si="16"/>
        <v>25164.26128773711</v>
      </c>
      <c r="S54" s="100">
        <f t="shared" si="17"/>
        <v>140.30724018166802</v>
      </c>
      <c r="T54" s="91">
        <f t="shared" si="8"/>
        <v>0</v>
      </c>
      <c r="U54" s="101"/>
      <c r="V54" s="61">
        <f t="shared" si="0"/>
        <v>24744.577446701875</v>
      </c>
      <c r="W54" s="61">
        <f t="shared" si="9"/>
        <v>24747.461928934012</v>
      </c>
    </row>
    <row r="55" spans="1:23" x14ac:dyDescent="0.25">
      <c r="A55" s="73">
        <f t="shared" si="2"/>
        <v>48</v>
      </c>
      <c r="C55" s="127">
        <v>46177.520833333343</v>
      </c>
      <c r="D55" s="128">
        <v>1.97</v>
      </c>
      <c r="E55" s="128">
        <v>1.97</v>
      </c>
      <c r="F55" s="128">
        <v>1.97</v>
      </c>
      <c r="G55" s="128">
        <v>1.97</v>
      </c>
      <c r="H55" s="124">
        <v>21130046</v>
      </c>
      <c r="I55" s="129">
        <f t="shared" si="1"/>
        <v>1.97</v>
      </c>
      <c r="K55" s="86">
        <f t="shared" si="3"/>
        <v>1.0204604892056768E-2</v>
      </c>
      <c r="L55" s="87">
        <f t="shared" si="4"/>
        <v>21130.045999999998</v>
      </c>
      <c r="M55" s="67">
        <f t="shared" si="5"/>
        <v>47</v>
      </c>
      <c r="N55" s="68">
        <f t="shared" si="14"/>
        <v>1.97</v>
      </c>
      <c r="O55" s="92">
        <f t="shared" si="10"/>
        <v>12904.087630243121</v>
      </c>
      <c r="P55" s="61">
        <f t="shared" si="12"/>
        <v>25304.568527918778</v>
      </c>
      <c r="Q55" s="93">
        <f t="shared" si="15"/>
        <v>-420.54832103286782</v>
      </c>
      <c r="R55" s="61">
        <f t="shared" si="16"/>
        <v>25421.052631578947</v>
      </c>
      <c r="S55" s="100">
        <f t="shared" si="17"/>
        <v>-116.48410366016833</v>
      </c>
      <c r="T55" s="91">
        <f t="shared" si="8"/>
        <v>0</v>
      </c>
      <c r="U55" s="101"/>
      <c r="V55" s="61">
        <f t="shared" si="0"/>
        <v>25000.504310546079</v>
      </c>
      <c r="W55" s="61">
        <f t="shared" si="9"/>
        <v>25000</v>
      </c>
    </row>
    <row r="56" spans="1:23" x14ac:dyDescent="0.25">
      <c r="A56" s="73">
        <f t="shared" si="2"/>
        <v>49</v>
      </c>
      <c r="C56" s="125">
        <v>46177.59375</v>
      </c>
      <c r="D56" s="126">
        <v>1.98</v>
      </c>
      <c r="E56" s="126">
        <v>1.98</v>
      </c>
      <c r="F56" s="126">
        <v>1.98</v>
      </c>
      <c r="G56" s="126">
        <v>1.98</v>
      </c>
      <c r="H56" s="124">
        <v>11477209</v>
      </c>
      <c r="I56" s="129">
        <f t="shared" si="1"/>
        <v>1.98</v>
      </c>
      <c r="K56" s="86">
        <f t="shared" si="3"/>
        <v>5.0761421319795996E-3</v>
      </c>
      <c r="L56" s="87">
        <f t="shared" si="4"/>
        <v>11477.209000000001</v>
      </c>
      <c r="M56" s="67">
        <f t="shared" si="5"/>
        <v>48</v>
      </c>
      <c r="N56" s="68">
        <f t="shared" si="14"/>
        <v>1.98</v>
      </c>
      <c r="O56" s="92">
        <f t="shared" si="10"/>
        <v>12904.087630243121</v>
      </c>
      <c r="P56" s="61">
        <f t="shared" si="12"/>
        <v>25304.568527918778</v>
      </c>
      <c r="Q56" s="93">
        <f t="shared" si="15"/>
        <v>-421.41458171775281</v>
      </c>
      <c r="R56" s="61">
        <f t="shared" si="16"/>
        <v>25550.093507881378</v>
      </c>
      <c r="S56" s="100">
        <f t="shared" si="17"/>
        <v>-245.5249799625999</v>
      </c>
      <c r="T56" s="91">
        <f t="shared" si="8"/>
        <v>0</v>
      </c>
      <c r="U56" s="101"/>
      <c r="V56" s="61">
        <f t="shared" si="0"/>
        <v>25128.678926163626</v>
      </c>
      <c r="W56" s="61">
        <f t="shared" si="9"/>
        <v>25126.903553299493</v>
      </c>
    </row>
    <row r="57" spans="1:23" x14ac:dyDescent="0.25">
      <c r="A57" s="73">
        <f t="shared" si="2"/>
        <v>50</v>
      </c>
      <c r="C57" s="127">
        <v>46177.604166666657</v>
      </c>
      <c r="D57" s="128">
        <v>1.9750000000000001</v>
      </c>
      <c r="E57" s="128">
        <v>1.9750000000000001</v>
      </c>
      <c r="F57" s="128">
        <v>1.9750000000000001</v>
      </c>
      <c r="G57" s="128">
        <v>1.9750000000000001</v>
      </c>
      <c r="H57" s="124">
        <v>14973343</v>
      </c>
      <c r="I57" s="129">
        <f t="shared" si="1"/>
        <v>1.9750000000000001</v>
      </c>
      <c r="K57" s="86">
        <f t="shared" si="3"/>
        <v>-2.525252525252486E-3</v>
      </c>
      <c r="L57" s="87">
        <f t="shared" si="4"/>
        <v>14973.343000000001</v>
      </c>
      <c r="M57" s="67">
        <f t="shared" si="5"/>
        <v>49</v>
      </c>
      <c r="N57" s="68">
        <f t="shared" si="14"/>
        <v>1.9750000000000001</v>
      </c>
      <c r="O57" s="92">
        <f t="shared" si="10"/>
        <v>12904.087630243121</v>
      </c>
      <c r="P57" s="61">
        <f t="shared" si="12"/>
        <v>25304.568527918778</v>
      </c>
      <c r="Q57" s="93">
        <f t="shared" si="15"/>
        <v>-422.28262675781565</v>
      </c>
      <c r="R57" s="61">
        <f t="shared" si="16"/>
        <v>25485.573069730166</v>
      </c>
      <c r="S57" s="100">
        <f t="shared" si="17"/>
        <v>-181.00454181138775</v>
      </c>
      <c r="T57" s="91">
        <f t="shared" si="8"/>
        <v>0</v>
      </c>
      <c r="U57" s="101"/>
      <c r="V57" s="61">
        <f t="shared" si="0"/>
        <v>25063.290442972349</v>
      </c>
      <c r="W57" s="61">
        <f t="shared" si="9"/>
        <v>25063.451776649748</v>
      </c>
    </row>
    <row r="58" spans="1:23" x14ac:dyDescent="0.25">
      <c r="A58" s="73">
        <f t="shared" si="2"/>
        <v>51</v>
      </c>
      <c r="C58" s="125">
        <v>46177.614583333343</v>
      </c>
      <c r="D58" s="126">
        <v>1.97</v>
      </c>
      <c r="E58" s="126">
        <v>1.97</v>
      </c>
      <c r="F58" s="126">
        <v>1.95</v>
      </c>
      <c r="G58" s="126">
        <v>1.95</v>
      </c>
      <c r="H58" s="124">
        <v>5665041</v>
      </c>
      <c r="I58" s="129">
        <f t="shared" si="1"/>
        <v>1.95</v>
      </c>
      <c r="K58" s="86">
        <f t="shared" si="3"/>
        <v>-1.2658227848101333E-2</v>
      </c>
      <c r="L58" s="87">
        <f t="shared" si="4"/>
        <v>5665.0410000000002</v>
      </c>
      <c r="M58" s="67">
        <f t="shared" si="5"/>
        <v>50</v>
      </c>
      <c r="N58" s="68">
        <f t="shared" si="14"/>
        <v>1.95</v>
      </c>
      <c r="O58" s="92">
        <f t="shared" si="10"/>
        <v>12904.087630243121</v>
      </c>
      <c r="P58" s="61">
        <f t="shared" si="12"/>
        <v>25304.568527918778</v>
      </c>
      <c r="Q58" s="93">
        <f t="shared" si="15"/>
        <v>-423.15245982853588</v>
      </c>
      <c r="R58" s="61">
        <f t="shared" si="16"/>
        <v>25162.970878974083</v>
      </c>
      <c r="S58" s="100">
        <f t="shared" si="17"/>
        <v>141.59764894469481</v>
      </c>
      <c r="T58" s="91">
        <f t="shared" si="8"/>
        <v>0</v>
      </c>
      <c r="U58" s="101"/>
      <c r="V58" s="61">
        <f t="shared" si="0"/>
        <v>24739.818419145548</v>
      </c>
      <c r="W58" s="61">
        <f t="shared" si="9"/>
        <v>24746.192893401017</v>
      </c>
    </row>
    <row r="59" spans="1:23" x14ac:dyDescent="0.25">
      <c r="A59" s="73">
        <f t="shared" si="2"/>
        <v>52</v>
      </c>
      <c r="C59" s="127">
        <v>46177.625</v>
      </c>
      <c r="D59" s="128">
        <v>1.95</v>
      </c>
      <c r="E59" s="128">
        <v>1.95</v>
      </c>
      <c r="F59" s="128">
        <v>1.95</v>
      </c>
      <c r="G59" s="128">
        <v>1.95</v>
      </c>
      <c r="H59" s="124">
        <v>16862632</v>
      </c>
      <c r="I59" s="129">
        <f t="shared" si="1"/>
        <v>1.95</v>
      </c>
      <c r="K59" s="86">
        <f t="shared" si="3"/>
        <v>0</v>
      </c>
      <c r="L59" s="87">
        <f t="shared" si="4"/>
        <v>16862.632000000001</v>
      </c>
      <c r="M59" s="67">
        <f t="shared" si="5"/>
        <v>51</v>
      </c>
      <c r="N59" s="68">
        <f t="shared" si="14"/>
        <v>1.95</v>
      </c>
      <c r="O59" s="92">
        <f t="shared" si="10"/>
        <v>12904.087630243121</v>
      </c>
      <c r="P59" s="61">
        <f t="shared" si="12"/>
        <v>25304.568527918778</v>
      </c>
      <c r="Q59" s="93">
        <f t="shared" si="15"/>
        <v>-424.02408461296386</v>
      </c>
      <c r="R59" s="61">
        <f t="shared" si="16"/>
        <v>25162.970878974083</v>
      </c>
      <c r="S59" s="100">
        <f t="shared" si="17"/>
        <v>141.59764894469481</v>
      </c>
      <c r="T59" s="91">
        <f t="shared" si="8"/>
        <v>0</v>
      </c>
      <c r="U59" s="101"/>
      <c r="V59" s="61">
        <f t="shared" si="0"/>
        <v>24738.94679436112</v>
      </c>
      <c r="W59" s="61">
        <f t="shared" si="9"/>
        <v>24746.192893401017</v>
      </c>
    </row>
    <row r="60" spans="1:23" x14ac:dyDescent="0.25">
      <c r="A60" s="73">
        <f t="shared" si="2"/>
        <v>53</v>
      </c>
      <c r="C60" s="125">
        <v>46177.635416666657</v>
      </c>
      <c r="D60" s="126">
        <v>1.9450000000000001</v>
      </c>
      <c r="E60" s="126">
        <v>1.95</v>
      </c>
      <c r="F60" s="126">
        <v>1.9450000000000001</v>
      </c>
      <c r="G60" s="126">
        <v>1.95</v>
      </c>
      <c r="H60" s="124">
        <v>9231821</v>
      </c>
      <c r="I60" s="129">
        <f t="shared" si="1"/>
        <v>1.95</v>
      </c>
      <c r="K60" s="86">
        <f t="shared" si="3"/>
        <v>0</v>
      </c>
      <c r="L60" s="87">
        <f t="shared" si="4"/>
        <v>9231.8209999999999</v>
      </c>
      <c r="M60" s="67">
        <f t="shared" si="5"/>
        <v>52</v>
      </c>
      <c r="N60" s="68">
        <f t="shared" si="14"/>
        <v>1.95</v>
      </c>
      <c r="O60" s="92">
        <f t="shared" si="10"/>
        <v>12904.087630243121</v>
      </c>
      <c r="P60" s="61">
        <f t="shared" si="12"/>
        <v>25304.568527918778</v>
      </c>
      <c r="Q60" s="93">
        <f t="shared" si="15"/>
        <v>-424.89750480173649</v>
      </c>
      <c r="R60" s="61">
        <f t="shared" si="16"/>
        <v>25162.970878974083</v>
      </c>
      <c r="S60" s="100">
        <f t="shared" si="17"/>
        <v>141.59764894469481</v>
      </c>
      <c r="T60" s="91">
        <f t="shared" si="8"/>
        <v>0</v>
      </c>
      <c r="U60" s="101"/>
      <c r="V60" s="61">
        <f t="shared" si="0"/>
        <v>24738.073374172345</v>
      </c>
      <c r="W60" s="61">
        <f t="shared" si="9"/>
        <v>24746.192893401017</v>
      </c>
    </row>
    <row r="61" spans="1:23" x14ac:dyDescent="0.25">
      <c r="A61" s="73">
        <f t="shared" si="2"/>
        <v>54</v>
      </c>
      <c r="C61" s="127">
        <v>46177.645833333343</v>
      </c>
      <c r="D61" s="128">
        <v>1.9550000000000001</v>
      </c>
      <c r="E61" s="128">
        <v>1.9550000000000001</v>
      </c>
      <c r="F61" s="128">
        <v>1.9550000000000001</v>
      </c>
      <c r="G61" s="128">
        <v>1.9550000000000001</v>
      </c>
      <c r="H61" s="124">
        <v>16580263</v>
      </c>
      <c r="I61" s="129">
        <f t="shared" si="1"/>
        <v>1.9550000000000001</v>
      </c>
      <c r="K61" s="86">
        <f t="shared" si="3"/>
        <v>2.564102564102555E-3</v>
      </c>
      <c r="L61" s="87">
        <f t="shared" si="4"/>
        <v>16580.262999999999</v>
      </c>
      <c r="M61" s="67">
        <f t="shared" si="5"/>
        <v>53</v>
      </c>
      <c r="N61" s="68">
        <f t="shared" si="14"/>
        <v>1.9550000000000001</v>
      </c>
      <c r="O61" s="92">
        <f t="shared" si="10"/>
        <v>12904.087630243121</v>
      </c>
      <c r="P61" s="61">
        <f t="shared" si="12"/>
        <v>25304.568527918778</v>
      </c>
      <c r="Q61" s="93">
        <f t="shared" si="15"/>
        <v>-425.77272409309279</v>
      </c>
      <c r="R61" s="61">
        <f t="shared" si="16"/>
        <v>25227.491317125303</v>
      </c>
      <c r="S61" s="100">
        <f t="shared" si="17"/>
        <v>77.077210793475388</v>
      </c>
      <c r="T61" s="91">
        <f t="shared" si="8"/>
        <v>0</v>
      </c>
      <c r="U61" s="101"/>
      <c r="V61" s="61">
        <f t="shared" si="0"/>
        <v>24801.718593032208</v>
      </c>
      <c r="W61" s="61">
        <f t="shared" si="9"/>
        <v>24809.644670050766</v>
      </c>
    </row>
    <row r="62" spans="1:23" x14ac:dyDescent="0.25">
      <c r="A62" s="73">
        <f t="shared" si="2"/>
        <v>55</v>
      </c>
      <c r="C62" s="125">
        <v>46177.65625</v>
      </c>
      <c r="D62" s="126">
        <v>1.96</v>
      </c>
      <c r="E62" s="126">
        <v>1.96</v>
      </c>
      <c r="F62" s="126">
        <v>1.95</v>
      </c>
      <c r="G62" s="126">
        <v>1.96</v>
      </c>
      <c r="H62" s="124">
        <v>8777367</v>
      </c>
      <c r="I62" s="129">
        <f t="shared" si="1"/>
        <v>1.96</v>
      </c>
      <c r="K62" s="86">
        <f t="shared" si="3"/>
        <v>2.5575447570331811E-3</v>
      </c>
      <c r="L62" s="87">
        <f t="shared" si="4"/>
        <v>8777.3670000000002</v>
      </c>
      <c r="M62" s="67">
        <f t="shared" si="5"/>
        <v>54</v>
      </c>
      <c r="N62" s="68">
        <f t="shared" si="14"/>
        <v>1.96</v>
      </c>
      <c r="O62" s="92">
        <f t="shared" si="10"/>
        <v>12904.087630243121</v>
      </c>
      <c r="P62" s="61">
        <f t="shared" si="12"/>
        <v>25304.568527918778</v>
      </c>
      <c r="Q62" s="93">
        <f t="shared" si="15"/>
        <v>-426.64974619288949</v>
      </c>
      <c r="R62" s="61">
        <f t="shared" si="16"/>
        <v>25292.011755276515</v>
      </c>
      <c r="S62" s="100">
        <f t="shared" si="17"/>
        <v>12.55677264226324</v>
      </c>
      <c r="T62" s="91">
        <f t="shared" si="8"/>
        <v>0</v>
      </c>
      <c r="U62" s="101"/>
      <c r="V62" s="61">
        <f t="shared" si="0"/>
        <v>24865.362009083627</v>
      </c>
      <c r="W62" s="61">
        <f t="shared" si="9"/>
        <v>24873.096446700511</v>
      </c>
    </row>
    <row r="63" spans="1:23" x14ac:dyDescent="0.25">
      <c r="A63" s="73">
        <f t="shared" si="2"/>
        <v>56</v>
      </c>
      <c r="C63" s="127">
        <v>46177.6875</v>
      </c>
      <c r="D63" s="128">
        <v>1.98</v>
      </c>
      <c r="E63" s="128">
        <v>1.98</v>
      </c>
      <c r="F63" s="128">
        <v>1.98</v>
      </c>
      <c r="G63" s="128">
        <v>1.98</v>
      </c>
      <c r="H63" s="124">
        <v>31807912</v>
      </c>
      <c r="I63" s="129">
        <f t="shared" si="1"/>
        <v>1.98</v>
      </c>
      <c r="K63" s="86">
        <f t="shared" si="3"/>
        <v>1.0204081632652962E-2</v>
      </c>
      <c r="L63" s="87">
        <f t="shared" si="4"/>
        <v>31807.912</v>
      </c>
      <c r="M63" s="67">
        <f t="shared" si="5"/>
        <v>55</v>
      </c>
      <c r="N63" s="68">
        <f t="shared" si="14"/>
        <v>1.98</v>
      </c>
      <c r="O63" s="92">
        <f t="shared" si="10"/>
        <v>12904.087630243121</v>
      </c>
      <c r="P63" s="61">
        <f t="shared" si="12"/>
        <v>25304.568527918778</v>
      </c>
      <c r="Q63" s="93">
        <f t="shared" si="15"/>
        <v>-427.52857481461683</v>
      </c>
      <c r="R63" s="61">
        <f t="shared" si="16"/>
        <v>25550.093507881378</v>
      </c>
      <c r="S63" s="100">
        <f t="shared" si="17"/>
        <v>-245.5249799625999</v>
      </c>
      <c r="T63" s="91">
        <f t="shared" si="8"/>
        <v>0</v>
      </c>
      <c r="U63" s="101"/>
      <c r="V63" s="61">
        <f t="shared" si="0"/>
        <v>25122.564933066762</v>
      </c>
      <c r="W63" s="61">
        <f t="shared" si="9"/>
        <v>25126.903553299493</v>
      </c>
    </row>
    <row r="64" spans="1:23" x14ac:dyDescent="0.25">
      <c r="A64" s="73">
        <f t="shared" si="2"/>
        <v>57</v>
      </c>
      <c r="C64" s="125">
        <v>46178.416666666657</v>
      </c>
      <c r="D64" s="126">
        <v>1.9550000000000001</v>
      </c>
      <c r="E64" s="126">
        <v>1.9550000000000001</v>
      </c>
      <c r="F64" s="126">
        <v>1.9550000000000001</v>
      </c>
      <c r="G64" s="126">
        <v>1.9550000000000001</v>
      </c>
      <c r="H64" s="124">
        <v>23173229</v>
      </c>
      <c r="I64" s="129">
        <f t="shared" si="1"/>
        <v>1.9550000000000001</v>
      </c>
      <c r="K64" s="86">
        <f t="shared" si="3"/>
        <v>-1.2626262626262541E-2</v>
      </c>
      <c r="L64" s="87">
        <f t="shared" si="4"/>
        <v>23173.228999999999</v>
      </c>
      <c r="M64" s="67">
        <f t="shared" si="5"/>
        <v>56</v>
      </c>
      <c r="N64" s="68">
        <f t="shared" si="14"/>
        <v>1.9550000000000001</v>
      </c>
      <c r="O64" s="92">
        <f t="shared" si="10"/>
        <v>12904.087630243121</v>
      </c>
      <c r="P64" s="61">
        <f t="shared" si="12"/>
        <v>25304.568527918778</v>
      </c>
      <c r="Q64" s="93">
        <f t="shared" si="15"/>
        <v>-428.40921367941417</v>
      </c>
      <c r="R64" s="61">
        <f t="shared" si="16"/>
        <v>25227.491317125303</v>
      </c>
      <c r="S64" s="100">
        <f t="shared" si="17"/>
        <v>77.077210793475388</v>
      </c>
      <c r="T64" s="91">
        <f t="shared" si="8"/>
        <v>0</v>
      </c>
      <c r="U64" s="101"/>
      <c r="V64" s="61">
        <f t="shared" si="0"/>
        <v>24799.08210344589</v>
      </c>
      <c r="W64" s="61">
        <f t="shared" si="9"/>
        <v>24809.644670050766</v>
      </c>
    </row>
    <row r="65" spans="1:23" x14ac:dyDescent="0.25">
      <c r="A65" s="73">
        <f t="shared" si="2"/>
        <v>58</v>
      </c>
      <c r="C65" s="127">
        <v>46178.4375</v>
      </c>
      <c r="D65" s="128">
        <v>1.96</v>
      </c>
      <c r="E65" s="128">
        <v>1.96</v>
      </c>
      <c r="F65" s="128">
        <v>1.96</v>
      </c>
      <c r="G65" s="128">
        <v>1.96</v>
      </c>
      <c r="H65" s="124">
        <v>19606653</v>
      </c>
      <c r="I65" s="129">
        <f t="shared" si="1"/>
        <v>1.96</v>
      </c>
      <c r="K65" s="86">
        <f t="shared" si="3"/>
        <v>2.5575447570331811E-3</v>
      </c>
      <c r="L65" s="87">
        <f t="shared" si="4"/>
        <v>19606.652999999998</v>
      </c>
      <c r="M65" s="67">
        <f t="shared" si="5"/>
        <v>57</v>
      </c>
      <c r="N65" s="68">
        <f t="shared" si="14"/>
        <v>1.96</v>
      </c>
      <c r="O65" s="92">
        <f t="shared" si="10"/>
        <v>12904.087630243121</v>
      </c>
      <c r="P65" s="61">
        <f t="shared" si="12"/>
        <v>25304.568527918778</v>
      </c>
      <c r="Q65" s="93">
        <f t="shared" si="15"/>
        <v>-429.29166651608585</v>
      </c>
      <c r="R65" s="61">
        <f t="shared" si="16"/>
        <v>25292.011755276515</v>
      </c>
      <c r="S65" s="100">
        <f t="shared" si="17"/>
        <v>12.55677264226324</v>
      </c>
      <c r="T65" s="91">
        <f t="shared" si="8"/>
        <v>0</v>
      </c>
      <c r="U65" s="101"/>
      <c r="V65" s="61">
        <f t="shared" si="0"/>
        <v>24862.72008876043</v>
      </c>
      <c r="W65" s="61">
        <f t="shared" si="9"/>
        <v>24873.096446700511</v>
      </c>
    </row>
    <row r="66" spans="1:23" x14ac:dyDescent="0.25">
      <c r="A66" s="73">
        <f t="shared" si="2"/>
        <v>59</v>
      </c>
      <c r="C66" s="125">
        <v>46178.53125</v>
      </c>
      <c r="D66" s="126">
        <v>1.93</v>
      </c>
      <c r="E66" s="126">
        <v>1.9300999999999999</v>
      </c>
      <c r="F66" s="126">
        <v>1.93</v>
      </c>
      <c r="G66" s="126">
        <v>1.9300999999999999</v>
      </c>
      <c r="H66" s="124">
        <v>8800361</v>
      </c>
      <c r="I66" s="129">
        <f t="shared" si="1"/>
        <v>1.9300999999999999</v>
      </c>
      <c r="K66" s="86">
        <f t="shared" si="3"/>
        <v>-1.5255102040816371E-2</v>
      </c>
      <c r="L66" s="87">
        <f t="shared" si="4"/>
        <v>8800.3610000000008</v>
      </c>
      <c r="M66" s="67">
        <f t="shared" si="5"/>
        <v>58</v>
      </c>
      <c r="N66" s="68">
        <f t="shared" si="14"/>
        <v>1.9300999999999999</v>
      </c>
      <c r="O66" s="92">
        <f t="shared" si="10"/>
        <v>12904.087630243121</v>
      </c>
      <c r="P66" s="61">
        <f t="shared" si="12"/>
        <v>25304.568527918778</v>
      </c>
      <c r="Q66" s="93">
        <f t="shared" si="15"/>
        <v>-430.17593706111694</v>
      </c>
      <c r="R66" s="61">
        <f t="shared" si="16"/>
        <v>24906.179535132247</v>
      </c>
      <c r="S66" s="100">
        <f t="shared" si="17"/>
        <v>398.38899278653116</v>
      </c>
      <c r="T66" s="91">
        <f t="shared" si="8"/>
        <v>0</v>
      </c>
      <c r="U66" s="101"/>
      <c r="V66" s="61">
        <f t="shared" si="0"/>
        <v>24476.003598071129</v>
      </c>
      <c r="W66" s="61">
        <f t="shared" si="9"/>
        <v>24493.654822335026</v>
      </c>
    </row>
    <row r="67" spans="1:23" x14ac:dyDescent="0.25">
      <c r="A67" s="73">
        <f t="shared" si="2"/>
        <v>60</v>
      </c>
      <c r="C67" s="127">
        <v>46178.5625</v>
      </c>
      <c r="D67" s="128">
        <v>1.93</v>
      </c>
      <c r="E67" s="128">
        <v>1.95</v>
      </c>
      <c r="F67" s="128">
        <v>1.93</v>
      </c>
      <c r="G67" s="128">
        <v>1.95</v>
      </c>
      <c r="H67" s="124">
        <v>13816743</v>
      </c>
      <c r="I67" s="129">
        <f t="shared" si="1"/>
        <v>1.95</v>
      </c>
      <c r="K67" s="86">
        <f t="shared" si="3"/>
        <v>1.0310346614165189E-2</v>
      </c>
      <c r="L67" s="87">
        <f t="shared" si="4"/>
        <v>13816.743</v>
      </c>
      <c r="M67" s="67">
        <f t="shared" si="5"/>
        <v>59</v>
      </c>
      <c r="N67" s="68">
        <f t="shared" si="14"/>
        <v>1.95</v>
      </c>
      <c r="O67" s="92">
        <f t="shared" si="10"/>
        <v>12904.087630243121</v>
      </c>
      <c r="P67" s="61">
        <f t="shared" si="12"/>
        <v>25304.568527918778</v>
      </c>
      <c r="Q67" s="93">
        <f t="shared" si="15"/>
        <v>-431.06202905868901</v>
      </c>
      <c r="R67" s="61">
        <f t="shared" si="16"/>
        <v>25162.970878974083</v>
      </c>
      <c r="S67" s="100">
        <f t="shared" si="17"/>
        <v>141.59764894469481</v>
      </c>
      <c r="T67" s="91">
        <f t="shared" si="8"/>
        <v>0</v>
      </c>
      <c r="U67" s="101"/>
      <c r="V67" s="61">
        <f t="shared" si="0"/>
        <v>24731.908849915395</v>
      </c>
      <c r="W67" s="61">
        <f t="shared" si="9"/>
        <v>24746.192893401017</v>
      </c>
    </row>
    <row r="68" spans="1:23" x14ac:dyDescent="0.25">
      <c r="A68" s="73">
        <f t="shared" si="2"/>
        <v>61</v>
      </c>
      <c r="C68" s="125">
        <v>46178.572916666657</v>
      </c>
      <c r="D68" s="126">
        <v>1.9350000000000001</v>
      </c>
      <c r="E68" s="126">
        <v>1.9350000000000001</v>
      </c>
      <c r="F68" s="126">
        <v>1.9350000000000001</v>
      </c>
      <c r="G68" s="126">
        <v>1.9350000000000001</v>
      </c>
      <c r="H68" s="124">
        <v>8766659</v>
      </c>
      <c r="I68" s="129">
        <f t="shared" si="1"/>
        <v>1.9350000000000001</v>
      </c>
      <c r="K68" s="86">
        <f t="shared" si="3"/>
        <v>-7.692307692307665E-3</v>
      </c>
      <c r="L68" s="87">
        <f t="shared" si="4"/>
        <v>8766.6589999999997</v>
      </c>
      <c r="M68" s="67">
        <f t="shared" si="5"/>
        <v>60</v>
      </c>
      <c r="N68" s="68">
        <f t="shared" si="14"/>
        <v>1.9350000000000001</v>
      </c>
      <c r="O68" s="92">
        <f t="shared" si="10"/>
        <v>12904.087630243121</v>
      </c>
      <c r="P68" s="61">
        <f t="shared" si="12"/>
        <v>25304.568527918778</v>
      </c>
      <c r="Q68" s="93">
        <f t="shared" si="15"/>
        <v>-431.94994626069609</v>
      </c>
      <c r="R68" s="61">
        <f t="shared" si="16"/>
        <v>24969.40956452044</v>
      </c>
      <c r="S68" s="100">
        <f t="shared" si="17"/>
        <v>335.15896339833853</v>
      </c>
      <c r="T68" s="91">
        <f t="shared" si="8"/>
        <v>0</v>
      </c>
      <c r="U68" s="101"/>
      <c r="V68" s="61">
        <f t="shared" si="0"/>
        <v>24537.459618259745</v>
      </c>
      <c r="W68" s="61">
        <f t="shared" si="9"/>
        <v>24555.83756345178</v>
      </c>
    </row>
    <row r="69" spans="1:23" x14ac:dyDescent="0.25">
      <c r="A69" s="73">
        <f t="shared" si="2"/>
        <v>62</v>
      </c>
      <c r="C69" s="127">
        <v>46178.59375</v>
      </c>
      <c r="D69" s="128">
        <v>1.92</v>
      </c>
      <c r="E69" s="128">
        <v>1.92</v>
      </c>
      <c r="F69" s="128">
        <v>1.91</v>
      </c>
      <c r="G69" s="128">
        <v>1.91</v>
      </c>
      <c r="H69" s="124">
        <v>10938689</v>
      </c>
      <c r="I69" s="129">
        <f t="shared" si="1"/>
        <v>1.91</v>
      </c>
      <c r="K69" s="86">
        <f t="shared" si="3"/>
        <v>-1.2919896640826933E-2</v>
      </c>
      <c r="L69" s="87">
        <f t="shared" si="4"/>
        <v>10938.689</v>
      </c>
      <c r="M69" s="67">
        <f t="shared" si="5"/>
        <v>61</v>
      </c>
      <c r="N69" s="68">
        <f t="shared" si="14"/>
        <v>1.91</v>
      </c>
      <c r="O69" s="92">
        <f t="shared" si="10"/>
        <v>12990.383445258372</v>
      </c>
      <c r="P69" s="61">
        <f t="shared" si="12"/>
        <v>25428.187282928127</v>
      </c>
      <c r="Q69" s="93">
        <f t="shared" si="15"/>
        <v>-597.6646991058908</v>
      </c>
      <c r="R69" s="61">
        <f t="shared" si="16"/>
        <v>24646.807373764361</v>
      </c>
      <c r="S69" s="100">
        <f t="shared" si="17"/>
        <v>657.76115415441745</v>
      </c>
      <c r="T69" s="91">
        <f t="shared" si="8"/>
        <v>164.82500667913024</v>
      </c>
      <c r="U69" s="101"/>
      <c r="V69" s="61">
        <f t="shared" si="0"/>
        <v>24213.967681337599</v>
      </c>
      <c r="W69" s="61">
        <f t="shared" si="9"/>
        <v>24238.578680203045</v>
      </c>
    </row>
    <row r="70" spans="1:23" x14ac:dyDescent="0.25">
      <c r="A70" s="73">
        <f t="shared" si="2"/>
        <v>63</v>
      </c>
      <c r="C70" s="125">
        <v>46178.604166666657</v>
      </c>
      <c r="D70" s="126">
        <v>1.91</v>
      </c>
      <c r="E70" s="126">
        <v>1.91</v>
      </c>
      <c r="F70" s="126">
        <v>1.9</v>
      </c>
      <c r="G70" s="126">
        <v>1.9</v>
      </c>
      <c r="H70" s="124">
        <v>6733714</v>
      </c>
      <c r="I70" s="129">
        <f t="shared" si="1"/>
        <v>1.9</v>
      </c>
      <c r="K70" s="86">
        <f t="shared" si="3"/>
        <v>-5.2356020942407877E-3</v>
      </c>
      <c r="L70" s="87">
        <f t="shared" si="4"/>
        <v>6733.7139999999999</v>
      </c>
      <c r="M70" s="67">
        <f t="shared" si="5"/>
        <v>62</v>
      </c>
      <c r="N70" s="68">
        <f t="shared" si="14"/>
        <v>1.9</v>
      </c>
      <c r="O70" s="92">
        <f t="shared" si="10"/>
        <v>13123.448795793847</v>
      </c>
      <c r="P70" s="61">
        <f t="shared" si="12"/>
        <v>25617.805407441178</v>
      </c>
      <c r="Q70" s="93">
        <f t="shared" si="15"/>
        <v>-851.71995654771581</v>
      </c>
      <c r="R70" s="61">
        <f t="shared" si="16"/>
        <v>24681.728545990907</v>
      </c>
      <c r="S70" s="100">
        <f t="shared" si="17"/>
        <v>746.45873693722024</v>
      </c>
      <c r="T70" s="91">
        <f t="shared" si="8"/>
        <v>252.82416601740209</v>
      </c>
      <c r="U70" s="101"/>
      <c r="V70" s="61">
        <f t="shared" si="0"/>
        <v>24082.832755460593</v>
      </c>
      <c r="W70" s="61">
        <f t="shared" si="9"/>
        <v>24111.675126903556</v>
      </c>
    </row>
    <row r="71" spans="1:23" x14ac:dyDescent="0.25">
      <c r="A71" s="73">
        <f t="shared" si="2"/>
        <v>64</v>
      </c>
      <c r="C71" s="127">
        <v>46178.625</v>
      </c>
      <c r="D71" s="128">
        <v>1.8959999999999999</v>
      </c>
      <c r="E71" s="128">
        <v>1.8959999999999999</v>
      </c>
      <c r="F71" s="128">
        <v>1.89</v>
      </c>
      <c r="G71" s="128">
        <v>1.89</v>
      </c>
      <c r="H71" s="124">
        <v>14950590</v>
      </c>
      <c r="I71" s="129">
        <f t="shared" si="1"/>
        <v>1.89</v>
      </c>
      <c r="K71" s="86">
        <f t="shared" si="3"/>
        <v>-5.2631578947368585E-3</v>
      </c>
      <c r="L71" s="87">
        <f t="shared" si="4"/>
        <v>14950.59</v>
      </c>
      <c r="M71" s="67">
        <f t="shared" si="5"/>
        <v>63</v>
      </c>
      <c r="N71" s="68">
        <f t="shared" si="14"/>
        <v>1.89</v>
      </c>
      <c r="O71" s="92">
        <f t="shared" si="10"/>
        <v>13291.925419555646</v>
      </c>
      <c r="P71" s="61">
        <f t="shared" si="12"/>
        <v>25856.621021623527</v>
      </c>
      <c r="Q71" s="93">
        <f t="shared" si="15"/>
        <v>-1171.8951791157615</v>
      </c>
      <c r="R71" s="61">
        <f t="shared" si="16"/>
        <v>24803.31822405037</v>
      </c>
      <c r="S71" s="100">
        <f t="shared" si="17"/>
        <v>814.48718339080733</v>
      </c>
      <c r="T71" s="91">
        <f t="shared" si="8"/>
        <v>318.42081890979989</v>
      </c>
      <c r="U71" s="101"/>
      <c r="V71" s="61">
        <f t="shared" si="0"/>
        <v>23949.843863844406</v>
      </c>
      <c r="W71" s="61">
        <f t="shared" si="9"/>
        <v>23984.771573604063</v>
      </c>
    </row>
    <row r="72" spans="1:23" x14ac:dyDescent="0.25">
      <c r="A72" s="73">
        <f t="shared" si="2"/>
        <v>65</v>
      </c>
      <c r="C72" s="125">
        <v>46178.645833333343</v>
      </c>
      <c r="D72" s="126">
        <v>1.875</v>
      </c>
      <c r="E72" s="126">
        <v>1.895</v>
      </c>
      <c r="F72" s="126">
        <v>1.875</v>
      </c>
      <c r="G72" s="126">
        <v>1.895</v>
      </c>
      <c r="H72" s="124">
        <v>16943201</v>
      </c>
      <c r="I72" s="129">
        <f t="shared" si="1"/>
        <v>1.895</v>
      </c>
      <c r="K72" s="86">
        <f t="shared" si="3"/>
        <v>2.6455026455027841E-3</v>
      </c>
      <c r="L72" s="87">
        <f t="shared" si="4"/>
        <v>16943.201000000001</v>
      </c>
      <c r="M72" s="67">
        <f t="shared" si="5"/>
        <v>64</v>
      </c>
      <c r="N72" s="68">
        <f t="shared" si="14"/>
        <v>1.895</v>
      </c>
      <c r="O72" s="92">
        <f t="shared" si="10"/>
        <v>13378.816384286209</v>
      </c>
      <c r="P72" s="61">
        <f t="shared" si="12"/>
        <v>25980.114805246838</v>
      </c>
      <c r="Q72" s="93">
        <f t="shared" si="15"/>
        <v>-1338.9674694745747</v>
      </c>
      <c r="R72" s="61">
        <f t="shared" si="16"/>
        <v>25188.198670057951</v>
      </c>
      <c r="S72" s="100">
        <f t="shared" si="17"/>
        <v>668.42235156557581</v>
      </c>
      <c r="T72" s="91">
        <f t="shared" si="8"/>
        <v>164.65837816441677</v>
      </c>
      <c r="U72" s="101"/>
      <c r="V72" s="61">
        <f t="shared" ref="V72:V135" si="18">Units*Price+Q$8:Q$65536</f>
        <v>24013.889578747792</v>
      </c>
      <c r="W72" s="61">
        <f t="shared" si="9"/>
        <v>24048.223350253811</v>
      </c>
    </row>
    <row r="73" spans="1:23" x14ac:dyDescent="0.25">
      <c r="A73" s="73">
        <f t="shared" si="2"/>
        <v>66</v>
      </c>
      <c r="C73" s="127">
        <v>46178.65625</v>
      </c>
      <c r="D73" s="128">
        <v>1.9</v>
      </c>
      <c r="E73" s="128">
        <v>1.9</v>
      </c>
      <c r="F73" s="128">
        <v>1.9</v>
      </c>
      <c r="G73" s="128">
        <v>1.9</v>
      </c>
      <c r="H73" s="124">
        <v>13776369</v>
      </c>
      <c r="I73" s="129">
        <f t="shared" ref="I73:I136" si="19">G73</f>
        <v>1.9</v>
      </c>
      <c r="K73" s="86">
        <f t="shared" si="3"/>
        <v>2.6385224274405594E-3</v>
      </c>
      <c r="L73" s="87">
        <f t="shared" si="4"/>
        <v>13776.369000000001</v>
      </c>
      <c r="M73" s="67">
        <f t="shared" si="5"/>
        <v>65</v>
      </c>
      <c r="N73" s="68">
        <f t="shared" si="14"/>
        <v>1.9</v>
      </c>
      <c r="O73" s="92">
        <f t="shared" si="10"/>
        <v>13378.816384286209</v>
      </c>
      <c r="P73" s="61">
        <f t="shared" si="12"/>
        <v>25980.114805246838</v>
      </c>
      <c r="Q73" s="93">
        <f t="shared" si="15"/>
        <v>-1341.725523232338</v>
      </c>
      <c r="R73" s="61">
        <f t="shared" si="16"/>
        <v>25419.751130143795</v>
      </c>
      <c r="S73" s="100">
        <f t="shared" si="17"/>
        <v>560.36367510304262</v>
      </c>
      <c r="T73" s="91">
        <f t="shared" si="8"/>
        <v>0</v>
      </c>
      <c r="U73" s="101"/>
      <c r="V73" s="61">
        <f t="shared" si="18"/>
        <v>24078.025606911458</v>
      </c>
      <c r="W73" s="61">
        <f t="shared" si="9"/>
        <v>24111.675126903556</v>
      </c>
    </row>
    <row r="74" spans="1:23" x14ac:dyDescent="0.25">
      <c r="A74" s="73">
        <f t="shared" ref="A74:A137" si="20">1+A73</f>
        <v>67</v>
      </c>
      <c r="C74" s="125">
        <v>46181.395833333343</v>
      </c>
      <c r="D74" s="126">
        <v>1.87</v>
      </c>
      <c r="E74" s="126">
        <v>1.905</v>
      </c>
      <c r="F74" s="126">
        <v>1.8617999999999999</v>
      </c>
      <c r="G74" s="126">
        <v>1.905</v>
      </c>
      <c r="H74" s="124">
        <v>7069764</v>
      </c>
      <c r="I74" s="129">
        <f t="shared" si="19"/>
        <v>1.905</v>
      </c>
      <c r="K74" s="86">
        <f t="shared" ref="K74:K137" si="21">IF(G74&lt;&gt;"",I74/I73-1,"")</f>
        <v>2.6315789473685403E-3</v>
      </c>
      <c r="L74" s="87">
        <f t="shared" ref="L74:L137" si="22">IF(G74&lt;&gt;"",H74/1000,"")</f>
        <v>7069.7640000000001</v>
      </c>
      <c r="M74" s="67">
        <f t="shared" ref="M74:M137" si="23">1+M73</f>
        <v>66</v>
      </c>
      <c r="N74" s="68">
        <f t="shared" si="14"/>
        <v>1.905</v>
      </c>
      <c r="O74" s="92">
        <f t="shared" si="10"/>
        <v>13378.816384286209</v>
      </c>
      <c r="P74" s="61">
        <f t="shared" si="12"/>
        <v>25980.114805246838</v>
      </c>
      <c r="Q74" s="93">
        <f t="shared" si="15"/>
        <v>-1344.4892581292656</v>
      </c>
      <c r="R74" s="61">
        <f t="shared" si="16"/>
        <v>25486.645212065228</v>
      </c>
      <c r="S74" s="100">
        <f t="shared" si="17"/>
        <v>493.46959318160953</v>
      </c>
      <c r="T74" s="91">
        <f t="shared" ref="T74:T137" si="24">IF(AND(X&gt;0,ABS(X)-a*SV&gt;MDT),ABS(X)-a*SV,IF(AND(X&lt;0,ABS(X)-a*SV&gt;MDT),-ABS(X)+a*SV,0))</f>
        <v>0</v>
      </c>
      <c r="U74" s="101"/>
      <c r="V74" s="61">
        <f t="shared" si="18"/>
        <v>24142.155953935962</v>
      </c>
      <c r="W74" s="61">
        <f t="shared" ref="W74:W137" si="25">$O$8*Price+$Q$8*(1+Int)^Mth</f>
        <v>24175.126903553301</v>
      </c>
    </row>
    <row r="75" spans="1:23" x14ac:dyDescent="0.25">
      <c r="A75" s="73">
        <f t="shared" si="20"/>
        <v>68</v>
      </c>
      <c r="C75" s="127">
        <v>46181.40625</v>
      </c>
      <c r="D75" s="128">
        <v>1.905</v>
      </c>
      <c r="E75" s="128">
        <v>1.905</v>
      </c>
      <c r="F75" s="128">
        <v>1.905</v>
      </c>
      <c r="G75" s="128">
        <v>1.905</v>
      </c>
      <c r="H75" s="124">
        <v>10031013</v>
      </c>
      <c r="I75" s="129">
        <f t="shared" si="19"/>
        <v>1.905</v>
      </c>
      <c r="K75" s="86">
        <f t="shared" si="21"/>
        <v>0</v>
      </c>
      <c r="L75" s="87">
        <f t="shared" si="22"/>
        <v>10031.013000000001</v>
      </c>
      <c r="M75" s="67">
        <f t="shared" si="23"/>
        <v>67</v>
      </c>
      <c r="N75" s="68">
        <f t="shared" si="14"/>
        <v>1.905</v>
      </c>
      <c r="O75" s="92">
        <f t="shared" ref="O75:O138" si="26">O74+Y/Price</f>
        <v>13378.816384286209</v>
      </c>
      <c r="P75" s="61">
        <f t="shared" si="12"/>
        <v>25980.114805246838</v>
      </c>
      <c r="Q75" s="93">
        <f t="shared" si="15"/>
        <v>-1347.2586858675743</v>
      </c>
      <c r="R75" s="61">
        <f t="shared" si="16"/>
        <v>25486.645212065228</v>
      </c>
      <c r="S75" s="100">
        <f t="shared" si="17"/>
        <v>493.46959318160953</v>
      </c>
      <c r="T75" s="91">
        <f t="shared" si="24"/>
        <v>0</v>
      </c>
      <c r="U75" s="101"/>
      <c r="V75" s="61">
        <f t="shared" si="18"/>
        <v>24139.386526197653</v>
      </c>
      <c r="W75" s="61">
        <f t="shared" si="25"/>
        <v>24175.126903553301</v>
      </c>
    </row>
    <row r="76" spans="1:23" x14ac:dyDescent="0.25">
      <c r="A76" s="73">
        <f t="shared" si="20"/>
        <v>69</v>
      </c>
      <c r="C76" s="125">
        <v>46181.416666666657</v>
      </c>
      <c r="D76" s="126">
        <v>1.86</v>
      </c>
      <c r="E76" s="126">
        <v>1.87</v>
      </c>
      <c r="F76" s="126">
        <v>1.86</v>
      </c>
      <c r="G76" s="126">
        <v>1.87</v>
      </c>
      <c r="H76" s="124">
        <v>5519039</v>
      </c>
      <c r="I76" s="129">
        <f t="shared" si="19"/>
        <v>1.87</v>
      </c>
      <c r="K76" s="86">
        <f t="shared" si="21"/>
        <v>-1.8372703412073421E-2</v>
      </c>
      <c r="L76" s="87">
        <f t="shared" si="22"/>
        <v>5519.0389999999998</v>
      </c>
      <c r="M76" s="67">
        <f t="shared" si="23"/>
        <v>68</v>
      </c>
      <c r="N76" s="68">
        <f t="shared" si="14"/>
        <v>1.87</v>
      </c>
      <c r="O76" s="92">
        <f t="shared" si="26"/>
        <v>13625.533193836649</v>
      </c>
      <c r="P76" s="61">
        <f t="shared" si="12"/>
        <v>26326.135130641331</v>
      </c>
      <c r="Q76" s="93">
        <f t="shared" si="15"/>
        <v>-1811.3942520329074</v>
      </c>
      <c r="R76" s="61">
        <f t="shared" si="16"/>
        <v>25018.386638615211</v>
      </c>
      <c r="S76" s="100">
        <f t="shared" si="17"/>
        <v>961.72816663162666</v>
      </c>
      <c r="T76" s="91">
        <f t="shared" si="24"/>
        <v>461.36043385932243</v>
      </c>
      <c r="U76" s="101"/>
      <c r="V76" s="61">
        <f t="shared" si="18"/>
        <v>23668.352820441629</v>
      </c>
      <c r="W76" s="61">
        <f t="shared" si="25"/>
        <v>23730.96446700508</v>
      </c>
    </row>
    <row r="77" spans="1:23" x14ac:dyDescent="0.25">
      <c r="A77" s="73">
        <f t="shared" si="20"/>
        <v>70</v>
      </c>
      <c r="C77" s="127">
        <v>46181.427083333343</v>
      </c>
      <c r="D77" s="128">
        <v>1.8795999999999999</v>
      </c>
      <c r="E77" s="128">
        <v>1.8795999999999999</v>
      </c>
      <c r="F77" s="128">
        <v>1.86</v>
      </c>
      <c r="G77" s="128">
        <v>1.86</v>
      </c>
      <c r="H77" s="124">
        <v>12619480</v>
      </c>
      <c r="I77" s="129">
        <f t="shared" si="19"/>
        <v>1.86</v>
      </c>
      <c r="K77" s="86">
        <f t="shared" si="21"/>
        <v>-5.3475935828877219E-3</v>
      </c>
      <c r="L77" s="87">
        <f t="shared" si="22"/>
        <v>12619.48</v>
      </c>
      <c r="M77" s="67">
        <f t="shared" si="23"/>
        <v>69</v>
      </c>
      <c r="N77" s="68">
        <f t="shared" si="14"/>
        <v>1.86</v>
      </c>
      <c r="O77" s="92">
        <f t="shared" si="26"/>
        <v>13881.325427865919</v>
      </c>
      <c r="P77" s="61">
        <f t="shared" ref="P77:P140" si="27">P76+b*IF(Y&gt;0,Y,0)</f>
        <v>26682.965297112161</v>
      </c>
      <c r="Q77" s="93">
        <f t="shared" si="15"/>
        <v>-2290.8989829066704</v>
      </c>
      <c r="R77" s="61">
        <f t="shared" si="16"/>
        <v>25343.491740536167</v>
      </c>
      <c r="S77" s="100">
        <f t="shared" si="17"/>
        <v>982.64339010516414</v>
      </c>
      <c r="T77" s="91">
        <f t="shared" si="24"/>
        <v>475.77355529444083</v>
      </c>
      <c r="U77" s="101"/>
      <c r="V77" s="61">
        <f t="shared" si="18"/>
        <v>23528.366312923939</v>
      </c>
      <c r="W77" s="61">
        <f t="shared" si="25"/>
        <v>23604.060913705587</v>
      </c>
    </row>
    <row r="78" spans="1:23" x14ac:dyDescent="0.25">
      <c r="A78" s="73">
        <f t="shared" si="20"/>
        <v>71</v>
      </c>
      <c r="C78" s="125">
        <v>46181.4375</v>
      </c>
      <c r="D78" s="126">
        <v>1.85</v>
      </c>
      <c r="E78" s="126">
        <v>1.85</v>
      </c>
      <c r="F78" s="126">
        <v>1.81</v>
      </c>
      <c r="G78" s="126">
        <v>1.81</v>
      </c>
      <c r="H78" s="124">
        <v>10800714</v>
      </c>
      <c r="I78" s="129">
        <f t="shared" si="19"/>
        <v>1.81</v>
      </c>
      <c r="K78" s="86">
        <f t="shared" si="21"/>
        <v>-2.6881720430107503E-2</v>
      </c>
      <c r="L78" s="87">
        <f t="shared" si="22"/>
        <v>10800.714</v>
      </c>
      <c r="M78" s="67">
        <f t="shared" si="23"/>
        <v>70</v>
      </c>
      <c r="N78" s="68">
        <f t="shared" si="14"/>
        <v>1.81</v>
      </c>
      <c r="O78" s="92">
        <f t="shared" si="26"/>
        <v>14464.343268852715</v>
      </c>
      <c r="P78" s="61">
        <f t="shared" si="27"/>
        <v>27474.412016251739</v>
      </c>
      <c r="Q78" s="93">
        <f t="shared" si="15"/>
        <v>-3350.8801519083108</v>
      </c>
      <c r="R78" s="61">
        <f t="shared" si="16"/>
        <v>25125.199024437312</v>
      </c>
      <c r="S78" s="100">
        <f t="shared" si="17"/>
        <v>1557.7662726748495</v>
      </c>
      <c r="T78" s="91">
        <f t="shared" si="24"/>
        <v>1055.2622921861032</v>
      </c>
      <c r="U78" s="101"/>
      <c r="V78" s="61">
        <f t="shared" si="18"/>
        <v>22829.581164715106</v>
      </c>
      <c r="W78" s="61">
        <f t="shared" si="25"/>
        <v>22969.543147208125</v>
      </c>
    </row>
    <row r="79" spans="1:23" x14ac:dyDescent="0.25">
      <c r="A79" s="73">
        <f t="shared" si="20"/>
        <v>72</v>
      </c>
      <c r="C79" s="127">
        <v>46181.447916666657</v>
      </c>
      <c r="D79" s="128">
        <v>1.8</v>
      </c>
      <c r="E79" s="128">
        <v>1.81</v>
      </c>
      <c r="F79" s="128">
        <v>1.8</v>
      </c>
      <c r="G79" s="128">
        <v>1.8</v>
      </c>
      <c r="H79" s="124">
        <v>13192457</v>
      </c>
      <c r="I79" s="129">
        <f t="shared" si="19"/>
        <v>1.8</v>
      </c>
      <c r="K79" s="86">
        <f t="shared" si="21"/>
        <v>-5.5248618784530246E-3</v>
      </c>
      <c r="L79" s="87">
        <f t="shared" si="22"/>
        <v>13192.457</v>
      </c>
      <c r="M79" s="67">
        <f t="shared" si="23"/>
        <v>71</v>
      </c>
      <c r="N79" s="68">
        <f t="shared" si="14"/>
        <v>1.8</v>
      </c>
      <c r="O79" s="92">
        <f t="shared" si="26"/>
        <v>14974.275365873913</v>
      </c>
      <c r="P79" s="61">
        <f t="shared" si="27"/>
        <v>28162.820347230354</v>
      </c>
      <c r="Q79" s="93">
        <f t="shared" si="15"/>
        <v>-4275.6601910192621</v>
      </c>
      <c r="R79" s="61">
        <f t="shared" si="16"/>
        <v>26035.817883934888</v>
      </c>
      <c r="S79" s="100">
        <f t="shared" si="17"/>
        <v>1438.5941323168518</v>
      </c>
      <c r="T79" s="91">
        <f t="shared" si="24"/>
        <v>917.87777463815405</v>
      </c>
      <c r="U79" s="101"/>
      <c r="V79" s="61">
        <f t="shared" si="18"/>
        <v>22678.035467553782</v>
      </c>
      <c r="W79" s="61">
        <f t="shared" si="25"/>
        <v>22842.639593908632</v>
      </c>
    </row>
    <row r="80" spans="1:23" x14ac:dyDescent="0.25">
      <c r="A80" s="73">
        <f t="shared" si="20"/>
        <v>73</v>
      </c>
      <c r="C80" s="125">
        <v>46181.458333333343</v>
      </c>
      <c r="D80" s="126">
        <v>1.81</v>
      </c>
      <c r="E80" s="126">
        <v>1.81</v>
      </c>
      <c r="F80" s="126">
        <v>1.8</v>
      </c>
      <c r="G80" s="126">
        <v>1.8</v>
      </c>
      <c r="H80" s="124">
        <v>8901065</v>
      </c>
      <c r="I80" s="129">
        <f t="shared" si="19"/>
        <v>1.8</v>
      </c>
      <c r="K80" s="86">
        <f t="shared" si="21"/>
        <v>0</v>
      </c>
      <c r="L80" s="87">
        <f t="shared" si="22"/>
        <v>8901.0650000000005</v>
      </c>
      <c r="M80" s="67">
        <f t="shared" si="23"/>
        <v>72</v>
      </c>
      <c r="N80" s="68">
        <f t="shared" si="14"/>
        <v>1.8</v>
      </c>
      <c r="O80" s="92">
        <f t="shared" si="26"/>
        <v>15346.525796699385</v>
      </c>
      <c r="P80" s="61">
        <f t="shared" si="27"/>
        <v>28665.358428844742</v>
      </c>
      <c r="Q80" s="93">
        <f t="shared" si="15"/>
        <v>-4954.5181264440953</v>
      </c>
      <c r="R80" s="61">
        <f t="shared" si="16"/>
        <v>26953.695658573044</v>
      </c>
      <c r="S80" s="100">
        <f t="shared" si="17"/>
        <v>1209.1246886573099</v>
      </c>
      <c r="T80" s="91">
        <f t="shared" si="24"/>
        <v>670.05077548584904</v>
      </c>
      <c r="U80" s="101"/>
      <c r="V80" s="61">
        <f t="shared" si="18"/>
        <v>22669.228307614798</v>
      </c>
      <c r="W80" s="61">
        <f t="shared" si="25"/>
        <v>22842.639593908632</v>
      </c>
    </row>
    <row r="81" spans="1:23" x14ac:dyDescent="0.25">
      <c r="A81" s="73">
        <f t="shared" si="20"/>
        <v>74</v>
      </c>
      <c r="C81" s="127">
        <v>46181.46875</v>
      </c>
      <c r="D81" s="128">
        <v>1.81</v>
      </c>
      <c r="E81" s="128">
        <v>1.81</v>
      </c>
      <c r="F81" s="128">
        <v>1.8</v>
      </c>
      <c r="G81" s="128">
        <v>1.8099000000000001</v>
      </c>
      <c r="H81" s="124">
        <v>19688586</v>
      </c>
      <c r="I81" s="129">
        <f t="shared" si="19"/>
        <v>1.8099000000000001</v>
      </c>
      <c r="K81" s="86">
        <f t="shared" si="21"/>
        <v>5.5000000000000604E-3</v>
      </c>
      <c r="L81" s="87">
        <f t="shared" si="22"/>
        <v>19688.585999999999</v>
      </c>
      <c r="M81" s="67">
        <f t="shared" si="23"/>
        <v>73</v>
      </c>
      <c r="N81" s="68">
        <f t="shared" si="14"/>
        <v>1.8099000000000001</v>
      </c>
      <c r="O81" s="92">
        <f t="shared" si="26"/>
        <v>15531.159118214164</v>
      </c>
      <c r="P81" s="61">
        <f t="shared" si="27"/>
        <v>28915.984315301943</v>
      </c>
      <c r="Q81" s="93">
        <f t="shared" si="15"/>
        <v>-5298.8914711901371</v>
      </c>
      <c r="R81" s="61">
        <f t="shared" si="16"/>
        <v>27775.677039446218</v>
      </c>
      <c r="S81" s="100">
        <f t="shared" si="17"/>
        <v>889.68138939852361</v>
      </c>
      <c r="T81" s="91">
        <f t="shared" si="24"/>
        <v>334.16784860959922</v>
      </c>
      <c r="U81" s="101"/>
      <c r="V81" s="61">
        <f t="shared" si="18"/>
        <v>22810.953416865679</v>
      </c>
      <c r="W81" s="61">
        <f t="shared" si="25"/>
        <v>22968.274111675131</v>
      </c>
    </row>
    <row r="82" spans="1:23" x14ac:dyDescent="0.25">
      <c r="A82" s="73">
        <f t="shared" si="20"/>
        <v>75</v>
      </c>
      <c r="C82" s="125">
        <v>46181.479166666657</v>
      </c>
      <c r="D82" s="126">
        <v>1.8049999999999999</v>
      </c>
      <c r="E82" s="126">
        <v>1.81</v>
      </c>
      <c r="F82" s="126">
        <v>1.79</v>
      </c>
      <c r="G82" s="126">
        <v>1.8049999999999999</v>
      </c>
      <c r="H82" s="124">
        <v>6650742</v>
      </c>
      <c r="I82" s="129">
        <f t="shared" si="19"/>
        <v>1.8049999999999999</v>
      </c>
      <c r="K82" s="86">
        <f t="shared" si="21"/>
        <v>-2.7073318967899551E-3</v>
      </c>
      <c r="L82" s="87">
        <f t="shared" si="22"/>
        <v>6650.7420000000002</v>
      </c>
      <c r="M82" s="67">
        <f t="shared" si="23"/>
        <v>74</v>
      </c>
      <c r="N82" s="68">
        <f t="shared" si="14"/>
        <v>1.8049999999999999</v>
      </c>
      <c r="O82" s="92">
        <f t="shared" si="26"/>
        <v>15709.312726390257</v>
      </c>
      <c r="P82" s="61">
        <f t="shared" si="27"/>
        <v>29157.159762370327</v>
      </c>
      <c r="Q82" s="93">
        <f t="shared" si="15"/>
        <v>-5631.3735827903038</v>
      </c>
      <c r="R82" s="61">
        <f t="shared" si="16"/>
        <v>28033.742208376563</v>
      </c>
      <c r="S82" s="100">
        <f t="shared" si="17"/>
        <v>882.24210692537963</v>
      </c>
      <c r="T82" s="91">
        <f t="shared" si="24"/>
        <v>321.56726275784831</v>
      </c>
      <c r="U82" s="101"/>
      <c r="V82" s="61">
        <f t="shared" si="18"/>
        <v>22723.935888344109</v>
      </c>
      <c r="W82" s="61">
        <f t="shared" si="25"/>
        <v>22906.091370558377</v>
      </c>
    </row>
    <row r="83" spans="1:23" x14ac:dyDescent="0.25">
      <c r="A83" s="73">
        <f t="shared" si="20"/>
        <v>76</v>
      </c>
      <c r="C83" s="127">
        <v>46181.489583333343</v>
      </c>
      <c r="D83" s="128">
        <v>1.8092999999999999</v>
      </c>
      <c r="E83" s="128">
        <v>1.8092999999999999</v>
      </c>
      <c r="F83" s="128">
        <v>1.8</v>
      </c>
      <c r="G83" s="128">
        <v>1.8049999999999999</v>
      </c>
      <c r="H83" s="124">
        <v>9881383</v>
      </c>
      <c r="I83" s="129">
        <f t="shared" si="19"/>
        <v>1.8049999999999999</v>
      </c>
      <c r="K83" s="86">
        <f t="shared" si="21"/>
        <v>0</v>
      </c>
      <c r="L83" s="87">
        <f t="shared" si="22"/>
        <v>9881.3829999999998</v>
      </c>
      <c r="M83" s="67">
        <f t="shared" si="23"/>
        <v>75</v>
      </c>
      <c r="N83" s="68">
        <f t="shared" si="14"/>
        <v>1.8049999999999999</v>
      </c>
      <c r="O83" s="92">
        <f t="shared" si="26"/>
        <v>15839.364860358803</v>
      </c>
      <c r="P83" s="61">
        <f t="shared" si="27"/>
        <v>29333.217838730248</v>
      </c>
      <c r="Q83" s="93">
        <f t="shared" si="15"/>
        <v>-5877.7173921583953</v>
      </c>
      <c r="R83" s="61">
        <f t="shared" si="16"/>
        <v>28355.309471134413</v>
      </c>
      <c r="S83" s="100">
        <f t="shared" si="17"/>
        <v>801.85029123591448</v>
      </c>
      <c r="T83" s="91">
        <f t="shared" si="24"/>
        <v>234.74410181322617</v>
      </c>
      <c r="U83" s="101"/>
      <c r="V83" s="61">
        <f t="shared" si="18"/>
        <v>22712.33618078924</v>
      </c>
      <c r="W83" s="61">
        <f t="shared" si="25"/>
        <v>22906.091370558377</v>
      </c>
    </row>
    <row r="84" spans="1:23" x14ac:dyDescent="0.25">
      <c r="A84" s="73">
        <f t="shared" si="20"/>
        <v>77</v>
      </c>
      <c r="C84" s="125">
        <v>46181.5</v>
      </c>
      <c r="D84" s="126">
        <v>1.81</v>
      </c>
      <c r="E84" s="126">
        <v>1.81</v>
      </c>
      <c r="F84" s="126">
        <v>1.81</v>
      </c>
      <c r="G84" s="126">
        <v>1.81</v>
      </c>
      <c r="H84" s="124">
        <v>6272421</v>
      </c>
      <c r="I84" s="129">
        <f t="shared" si="19"/>
        <v>1.81</v>
      </c>
      <c r="K84" s="86">
        <f t="shared" si="21"/>
        <v>2.7700831024930483E-3</v>
      </c>
      <c r="L84" s="87">
        <f t="shared" si="22"/>
        <v>6272.4210000000003</v>
      </c>
      <c r="M84" s="67">
        <f t="shared" si="23"/>
        <v>76</v>
      </c>
      <c r="N84" s="68">
        <f t="shared" si="14"/>
        <v>1.81</v>
      </c>
      <c r="O84" s="92">
        <f t="shared" si="26"/>
        <v>15839.364860358803</v>
      </c>
      <c r="P84" s="61">
        <f t="shared" si="27"/>
        <v>29333.217838730248</v>
      </c>
      <c r="Q84" s="93">
        <f t="shared" si="15"/>
        <v>-5889.8245276266489</v>
      </c>
      <c r="R84" s="61">
        <f t="shared" si="16"/>
        <v>28669.250397249434</v>
      </c>
      <c r="S84" s="100">
        <f t="shared" si="17"/>
        <v>663.96744148081416</v>
      </c>
      <c r="T84" s="91">
        <f t="shared" si="24"/>
        <v>0</v>
      </c>
      <c r="U84" s="101"/>
      <c r="V84" s="61">
        <f t="shared" si="18"/>
        <v>22779.425869622784</v>
      </c>
      <c r="W84" s="61">
        <f t="shared" si="25"/>
        <v>22969.543147208125</v>
      </c>
    </row>
    <row r="85" spans="1:23" x14ac:dyDescent="0.25">
      <c r="A85" s="73">
        <f t="shared" si="20"/>
        <v>78</v>
      </c>
      <c r="C85" s="127">
        <v>46181.510416666657</v>
      </c>
      <c r="D85" s="128">
        <v>1.81</v>
      </c>
      <c r="E85" s="128">
        <v>1.81</v>
      </c>
      <c r="F85" s="128">
        <v>1.81</v>
      </c>
      <c r="G85" s="128">
        <v>1.81</v>
      </c>
      <c r="H85" s="124">
        <v>11266851</v>
      </c>
      <c r="I85" s="129">
        <f t="shared" si="19"/>
        <v>1.81</v>
      </c>
      <c r="K85" s="86">
        <f t="shared" si="21"/>
        <v>0</v>
      </c>
      <c r="L85" s="87">
        <f t="shared" si="22"/>
        <v>11266.851000000001</v>
      </c>
      <c r="M85" s="67">
        <f t="shared" si="23"/>
        <v>77</v>
      </c>
      <c r="N85" s="68">
        <f t="shared" si="14"/>
        <v>1.81</v>
      </c>
      <c r="O85" s="92">
        <f t="shared" si="26"/>
        <v>15839.364860358803</v>
      </c>
      <c r="P85" s="61">
        <f t="shared" si="27"/>
        <v>29333.217838730248</v>
      </c>
      <c r="Q85" s="93">
        <f t="shared" si="15"/>
        <v>-5901.9566018116639</v>
      </c>
      <c r="R85" s="61">
        <f t="shared" si="16"/>
        <v>28669.250397249434</v>
      </c>
      <c r="S85" s="100">
        <f t="shared" si="17"/>
        <v>663.96744148081416</v>
      </c>
      <c r="T85" s="91">
        <f t="shared" si="24"/>
        <v>0</v>
      </c>
      <c r="U85" s="101"/>
      <c r="V85" s="61">
        <f t="shared" si="18"/>
        <v>22767.29379543777</v>
      </c>
      <c r="W85" s="61">
        <f t="shared" si="25"/>
        <v>22969.543147208125</v>
      </c>
    </row>
    <row r="86" spans="1:23" x14ac:dyDescent="0.25">
      <c r="A86" s="73">
        <f t="shared" si="20"/>
        <v>79</v>
      </c>
      <c r="C86" s="125">
        <v>46181.53125</v>
      </c>
      <c r="D86" s="126">
        <v>1.82</v>
      </c>
      <c r="E86" s="126">
        <v>1.82</v>
      </c>
      <c r="F86" s="126">
        <v>1.81</v>
      </c>
      <c r="G86" s="126">
        <v>1.8149999999999999</v>
      </c>
      <c r="H86" s="124">
        <v>5690162</v>
      </c>
      <c r="I86" s="129">
        <f t="shared" si="19"/>
        <v>1.8149999999999999</v>
      </c>
      <c r="K86" s="86">
        <f t="shared" si="21"/>
        <v>2.7624309392264568E-3</v>
      </c>
      <c r="L86" s="87">
        <f t="shared" si="22"/>
        <v>5690.1620000000003</v>
      </c>
      <c r="M86" s="67">
        <f t="shared" si="23"/>
        <v>78</v>
      </c>
      <c r="N86" s="68">
        <f t="shared" si="14"/>
        <v>1.8149999999999999</v>
      </c>
      <c r="O86" s="92">
        <f t="shared" si="26"/>
        <v>15839.364860358803</v>
      </c>
      <c r="P86" s="61">
        <f t="shared" si="27"/>
        <v>29333.217838730248</v>
      </c>
      <c r="Q86" s="93">
        <f t="shared" si="15"/>
        <v>-5914.1136660831135</v>
      </c>
      <c r="R86" s="61">
        <f t="shared" si="16"/>
        <v>28748.447221551225</v>
      </c>
      <c r="S86" s="100">
        <f t="shared" si="17"/>
        <v>584.77061717902325</v>
      </c>
      <c r="T86" s="91">
        <f t="shared" si="24"/>
        <v>0</v>
      </c>
      <c r="U86" s="101"/>
      <c r="V86" s="61">
        <f t="shared" si="18"/>
        <v>22834.333555468111</v>
      </c>
      <c r="W86" s="61">
        <f t="shared" si="25"/>
        <v>23032.99492385787</v>
      </c>
    </row>
    <row r="87" spans="1:23" x14ac:dyDescent="0.25">
      <c r="A87" s="73">
        <f t="shared" si="20"/>
        <v>80</v>
      </c>
      <c r="C87" s="127">
        <v>46181.552083333343</v>
      </c>
      <c r="D87" s="128">
        <v>1.81</v>
      </c>
      <c r="E87" s="128">
        <v>1.81</v>
      </c>
      <c r="F87" s="128">
        <v>1.81</v>
      </c>
      <c r="G87" s="128">
        <v>1.81</v>
      </c>
      <c r="H87" s="124">
        <v>11848440</v>
      </c>
      <c r="I87" s="129">
        <f t="shared" si="19"/>
        <v>1.81</v>
      </c>
      <c r="K87" s="86">
        <f t="shared" si="21"/>
        <v>-2.7548209366390353E-3</v>
      </c>
      <c r="L87" s="87">
        <f t="shared" si="22"/>
        <v>11848.44</v>
      </c>
      <c r="M87" s="67">
        <f t="shared" si="23"/>
        <v>79</v>
      </c>
      <c r="N87" s="68">
        <f t="shared" si="14"/>
        <v>1.81</v>
      </c>
      <c r="O87" s="92">
        <f t="shared" si="26"/>
        <v>15839.364860358803</v>
      </c>
      <c r="P87" s="61">
        <f t="shared" si="27"/>
        <v>29333.217838730248</v>
      </c>
      <c r="Q87" s="93">
        <f t="shared" si="15"/>
        <v>-5926.2957719164842</v>
      </c>
      <c r="R87" s="61">
        <f t="shared" si="16"/>
        <v>28669.250397249434</v>
      </c>
      <c r="S87" s="100">
        <f t="shared" si="17"/>
        <v>663.96744148081416</v>
      </c>
      <c r="T87" s="91">
        <f t="shared" si="24"/>
        <v>0</v>
      </c>
      <c r="U87" s="101"/>
      <c r="V87" s="61">
        <f t="shared" si="18"/>
        <v>22742.95462533295</v>
      </c>
      <c r="W87" s="61">
        <f t="shared" si="25"/>
        <v>22969.543147208125</v>
      </c>
    </row>
    <row r="88" spans="1:23" x14ac:dyDescent="0.25">
      <c r="A88" s="73">
        <f t="shared" si="20"/>
        <v>81</v>
      </c>
      <c r="C88" s="125">
        <v>46181.5625</v>
      </c>
      <c r="D88" s="126">
        <v>1.81</v>
      </c>
      <c r="E88" s="126">
        <v>1.81</v>
      </c>
      <c r="F88" s="126">
        <v>1.81</v>
      </c>
      <c r="G88" s="126">
        <v>1.81</v>
      </c>
      <c r="H88" s="124">
        <v>9801822</v>
      </c>
      <c r="I88" s="129">
        <f t="shared" si="19"/>
        <v>1.81</v>
      </c>
      <c r="K88" s="86">
        <f t="shared" si="21"/>
        <v>0</v>
      </c>
      <c r="L88" s="87">
        <f t="shared" si="22"/>
        <v>9801.8220000000001</v>
      </c>
      <c r="M88" s="67">
        <f t="shared" si="23"/>
        <v>80</v>
      </c>
      <c r="N88" s="68">
        <f t="shared" si="14"/>
        <v>1.81</v>
      </c>
      <c r="O88" s="92">
        <f t="shared" si="26"/>
        <v>15839.364860358803</v>
      </c>
      <c r="P88" s="61">
        <f t="shared" si="27"/>
        <v>29333.217838730248</v>
      </c>
      <c r="Q88" s="93">
        <f t="shared" si="15"/>
        <v>-5938.5029708932934</v>
      </c>
      <c r="R88" s="61">
        <f t="shared" si="16"/>
        <v>28669.250397249434</v>
      </c>
      <c r="S88" s="100">
        <f t="shared" si="17"/>
        <v>663.96744148081416</v>
      </c>
      <c r="T88" s="91">
        <f t="shared" si="24"/>
        <v>0</v>
      </c>
      <c r="U88" s="101"/>
      <c r="V88" s="61">
        <f t="shared" si="18"/>
        <v>22730.747426356142</v>
      </c>
      <c r="W88" s="61">
        <f t="shared" si="25"/>
        <v>22969.543147208125</v>
      </c>
    </row>
    <row r="89" spans="1:23" x14ac:dyDescent="0.25">
      <c r="A89" s="73">
        <f t="shared" si="20"/>
        <v>82</v>
      </c>
      <c r="C89" s="127">
        <v>46181.572916666657</v>
      </c>
      <c r="D89" s="128">
        <v>1.8149999999999999</v>
      </c>
      <c r="E89" s="128">
        <v>1.82</v>
      </c>
      <c r="F89" s="128">
        <v>1.8149999999999999</v>
      </c>
      <c r="G89" s="128">
        <v>1.82</v>
      </c>
      <c r="H89" s="124">
        <v>12516665</v>
      </c>
      <c r="I89" s="129">
        <f t="shared" si="19"/>
        <v>1.82</v>
      </c>
      <c r="K89" s="86">
        <f t="shared" si="21"/>
        <v>5.5248618784531356E-3</v>
      </c>
      <c r="L89" s="87">
        <f t="shared" si="22"/>
        <v>12516.665000000001</v>
      </c>
      <c r="M89" s="67">
        <f t="shared" si="23"/>
        <v>81</v>
      </c>
      <c r="N89" s="68">
        <f t="shared" si="14"/>
        <v>1.82</v>
      </c>
      <c r="O89" s="92">
        <f t="shared" si="26"/>
        <v>15839.364860358803</v>
      </c>
      <c r="P89" s="61">
        <f t="shared" si="27"/>
        <v>29333.217838730248</v>
      </c>
      <c r="Q89" s="93">
        <f t="shared" si="15"/>
        <v>-5950.7353147013082</v>
      </c>
      <c r="R89" s="61">
        <f t="shared" si="16"/>
        <v>28827.644045853023</v>
      </c>
      <c r="S89" s="100">
        <f t="shared" si="17"/>
        <v>505.57379287722506</v>
      </c>
      <c r="T89" s="91">
        <f t="shared" si="24"/>
        <v>0</v>
      </c>
      <c r="U89" s="101"/>
      <c r="V89" s="61">
        <f t="shared" si="18"/>
        <v>22876.908731151714</v>
      </c>
      <c r="W89" s="61">
        <f t="shared" si="25"/>
        <v>23096.446700507619</v>
      </c>
    </row>
    <row r="90" spans="1:23" x14ac:dyDescent="0.25">
      <c r="A90" s="73">
        <f t="shared" si="20"/>
        <v>83</v>
      </c>
      <c r="C90" s="125">
        <v>46181.583333333343</v>
      </c>
      <c r="D90" s="126">
        <v>1.82</v>
      </c>
      <c r="E90" s="126">
        <v>1.84</v>
      </c>
      <c r="F90" s="126">
        <v>1.82</v>
      </c>
      <c r="G90" s="126">
        <v>1.84</v>
      </c>
      <c r="H90" s="124">
        <v>10743442</v>
      </c>
      <c r="I90" s="129">
        <f t="shared" si="19"/>
        <v>1.84</v>
      </c>
      <c r="K90" s="86">
        <f t="shared" si="21"/>
        <v>1.098901098901095E-2</v>
      </c>
      <c r="L90" s="87">
        <f t="shared" si="22"/>
        <v>10743.441999999999</v>
      </c>
      <c r="M90" s="67">
        <f t="shared" si="23"/>
        <v>82</v>
      </c>
      <c r="N90" s="68">
        <f t="shared" si="14"/>
        <v>1.84</v>
      </c>
      <c r="O90" s="92">
        <f t="shared" si="26"/>
        <v>15839.364860358803</v>
      </c>
      <c r="P90" s="61">
        <f t="shared" si="27"/>
        <v>29333.217838730248</v>
      </c>
      <c r="Q90" s="93">
        <f t="shared" si="15"/>
        <v>-5962.9928551347639</v>
      </c>
      <c r="R90" s="61">
        <f t="shared" si="16"/>
        <v>29144.431343060198</v>
      </c>
      <c r="S90" s="100">
        <f t="shared" si="17"/>
        <v>188.7864956700505</v>
      </c>
      <c r="T90" s="91">
        <f t="shared" si="24"/>
        <v>0</v>
      </c>
      <c r="U90" s="101"/>
      <c r="V90" s="61">
        <f t="shared" si="18"/>
        <v>23181.438487925436</v>
      </c>
      <c r="W90" s="61">
        <f t="shared" si="25"/>
        <v>23350.253807106601</v>
      </c>
    </row>
    <row r="91" spans="1:23" x14ac:dyDescent="0.25">
      <c r="A91" s="73">
        <f t="shared" si="20"/>
        <v>84</v>
      </c>
      <c r="C91" s="127">
        <v>46181.59375</v>
      </c>
      <c r="D91" s="128">
        <v>1.835</v>
      </c>
      <c r="E91" s="128">
        <v>1.8499000000000001</v>
      </c>
      <c r="F91" s="128">
        <v>1.82</v>
      </c>
      <c r="G91" s="128">
        <v>1.8499000000000001</v>
      </c>
      <c r="H91" s="124">
        <v>28101625</v>
      </c>
      <c r="I91" s="129">
        <f t="shared" si="19"/>
        <v>1.8499000000000001</v>
      </c>
      <c r="K91" s="86">
        <f t="shared" si="21"/>
        <v>5.3804347826087451E-3</v>
      </c>
      <c r="L91" s="87">
        <f t="shared" si="22"/>
        <v>28101.625</v>
      </c>
      <c r="M91" s="67">
        <f t="shared" si="23"/>
        <v>83</v>
      </c>
      <c r="N91" s="68">
        <f t="shared" si="14"/>
        <v>1.8499000000000001</v>
      </c>
      <c r="O91" s="92">
        <f t="shared" si="26"/>
        <v>15839.364860358803</v>
      </c>
      <c r="P91" s="61">
        <f t="shared" si="27"/>
        <v>29333.217838730248</v>
      </c>
      <c r="Q91" s="93">
        <f t="shared" si="15"/>
        <v>-5975.2756440945832</v>
      </c>
      <c r="R91" s="61">
        <f t="shared" si="16"/>
        <v>29301.24105517775</v>
      </c>
      <c r="S91" s="100">
        <f t="shared" si="17"/>
        <v>31.976783552498091</v>
      </c>
      <c r="T91" s="91">
        <f t="shared" si="24"/>
        <v>0</v>
      </c>
      <c r="U91" s="101"/>
      <c r="V91" s="61">
        <f t="shared" si="18"/>
        <v>23325.965411083169</v>
      </c>
      <c r="W91" s="61">
        <f t="shared" si="25"/>
        <v>23475.8883248731</v>
      </c>
    </row>
    <row r="92" spans="1:23" x14ac:dyDescent="0.25">
      <c r="A92" s="73">
        <f t="shared" si="20"/>
        <v>85</v>
      </c>
      <c r="C92" s="125">
        <v>46181.614583333343</v>
      </c>
      <c r="D92" s="126">
        <v>1.82</v>
      </c>
      <c r="E92" s="126">
        <v>1.82</v>
      </c>
      <c r="F92" s="126">
        <v>1.82</v>
      </c>
      <c r="G92" s="126">
        <v>1.82</v>
      </c>
      <c r="H92" s="124">
        <v>13966430</v>
      </c>
      <c r="I92" s="129">
        <f t="shared" si="19"/>
        <v>1.82</v>
      </c>
      <c r="K92" s="86">
        <f t="shared" si="21"/>
        <v>-1.6163035839775186E-2</v>
      </c>
      <c r="L92" s="87">
        <f t="shared" si="22"/>
        <v>13966.43</v>
      </c>
      <c r="M92" s="67">
        <f t="shared" si="23"/>
        <v>84</v>
      </c>
      <c r="N92" s="68">
        <f t="shared" si="14"/>
        <v>1.82</v>
      </c>
      <c r="O92" s="92">
        <f t="shared" si="26"/>
        <v>15839.364860358803</v>
      </c>
      <c r="P92" s="61">
        <f t="shared" si="27"/>
        <v>29333.217838730248</v>
      </c>
      <c r="Q92" s="93">
        <f t="shared" si="15"/>
        <v>-5987.5837335885972</v>
      </c>
      <c r="R92" s="61">
        <f t="shared" si="16"/>
        <v>28827.644045853023</v>
      </c>
      <c r="S92" s="100">
        <f t="shared" si="17"/>
        <v>505.57379287722506</v>
      </c>
      <c r="T92" s="91">
        <f t="shared" si="24"/>
        <v>0</v>
      </c>
      <c r="U92" s="101"/>
      <c r="V92" s="61">
        <f t="shared" si="18"/>
        <v>22840.060312264424</v>
      </c>
      <c r="W92" s="61">
        <f t="shared" si="25"/>
        <v>23096.446700507619</v>
      </c>
    </row>
    <row r="93" spans="1:23" x14ac:dyDescent="0.25">
      <c r="A93" s="73">
        <f t="shared" si="20"/>
        <v>86</v>
      </c>
      <c r="C93" s="127">
        <v>46181.65625</v>
      </c>
      <c r="D93" s="128">
        <v>1.85</v>
      </c>
      <c r="E93" s="128">
        <v>1.87</v>
      </c>
      <c r="F93" s="128">
        <v>1.84</v>
      </c>
      <c r="G93" s="128">
        <v>1.87</v>
      </c>
      <c r="H93" s="124">
        <v>17881920</v>
      </c>
      <c r="I93" s="129">
        <f t="shared" si="19"/>
        <v>1.87</v>
      </c>
      <c r="K93" s="86">
        <f t="shared" si="21"/>
        <v>2.7472527472527597E-2</v>
      </c>
      <c r="L93" s="87">
        <f t="shared" si="22"/>
        <v>17881.919999999998</v>
      </c>
      <c r="M93" s="67">
        <f t="shared" si="23"/>
        <v>85</v>
      </c>
      <c r="N93" s="68">
        <f t="shared" si="14"/>
        <v>1.87</v>
      </c>
      <c r="O93" s="92">
        <f t="shared" si="26"/>
        <v>15839.364860358803</v>
      </c>
      <c r="P93" s="61">
        <f t="shared" si="27"/>
        <v>29333.217838730248</v>
      </c>
      <c r="Q93" s="93">
        <f t="shared" si="15"/>
        <v>-5999.9171757317636</v>
      </c>
      <c r="R93" s="61">
        <f t="shared" si="16"/>
        <v>29619.612288870961</v>
      </c>
      <c r="S93" s="100">
        <f t="shared" si="17"/>
        <v>-286.39445014071316</v>
      </c>
      <c r="T93" s="91">
        <f t="shared" si="24"/>
        <v>0</v>
      </c>
      <c r="U93" s="101"/>
      <c r="V93" s="61">
        <f t="shared" si="18"/>
        <v>23619.695113139198</v>
      </c>
      <c r="W93" s="61">
        <f t="shared" si="25"/>
        <v>23730.96446700508</v>
      </c>
    </row>
    <row r="94" spans="1:23" x14ac:dyDescent="0.25">
      <c r="A94" s="73">
        <f t="shared" si="20"/>
        <v>87</v>
      </c>
      <c r="C94" s="125">
        <v>46182.385416666657</v>
      </c>
      <c r="D94" s="126">
        <v>1.8</v>
      </c>
      <c r="E94" s="126">
        <v>1.8</v>
      </c>
      <c r="F94" s="126">
        <v>1.8</v>
      </c>
      <c r="G94" s="126">
        <v>1.8</v>
      </c>
      <c r="H94" s="124">
        <v>17378831</v>
      </c>
      <c r="I94" s="129">
        <f t="shared" si="19"/>
        <v>1.8</v>
      </c>
      <c r="K94" s="86">
        <f t="shared" si="21"/>
        <v>-3.7433155080213942E-2</v>
      </c>
      <c r="L94" s="87">
        <f t="shared" si="22"/>
        <v>17378.830999999998</v>
      </c>
      <c r="M94" s="67">
        <f t="shared" si="23"/>
        <v>86</v>
      </c>
      <c r="N94" s="68">
        <f t="shared" si="14"/>
        <v>1.8</v>
      </c>
      <c r="O94" s="92">
        <f t="shared" si="26"/>
        <v>15979.44483542074</v>
      </c>
      <c r="P94" s="61">
        <f t="shared" si="27"/>
        <v>29522.325805063861</v>
      </c>
      <c r="Q94" s="93">
        <f t="shared" si="15"/>
        <v>-6264.419977857875</v>
      </c>
      <c r="R94" s="61">
        <f t="shared" si="16"/>
        <v>28510.856748645845</v>
      </c>
      <c r="S94" s="100">
        <f t="shared" si="17"/>
        <v>822.36109008440326</v>
      </c>
      <c r="T94" s="91">
        <f t="shared" si="24"/>
        <v>252.14395511148632</v>
      </c>
      <c r="U94" s="101"/>
      <c r="V94" s="61">
        <f t="shared" si="18"/>
        <v>22498.580725899454</v>
      </c>
      <c r="W94" s="61">
        <f t="shared" si="25"/>
        <v>22842.639593908632</v>
      </c>
    </row>
    <row r="95" spans="1:23" x14ac:dyDescent="0.25">
      <c r="A95" s="73">
        <f t="shared" si="20"/>
        <v>88</v>
      </c>
      <c r="C95" s="127">
        <v>46182.395833333343</v>
      </c>
      <c r="D95" s="128">
        <v>1.81</v>
      </c>
      <c r="E95" s="128">
        <v>1.8698999999999999</v>
      </c>
      <c r="F95" s="128">
        <v>1.81</v>
      </c>
      <c r="G95" s="128">
        <v>1.8698999999999999</v>
      </c>
      <c r="H95" s="124">
        <v>18367483</v>
      </c>
      <c r="I95" s="129">
        <f t="shared" si="19"/>
        <v>1.8698999999999999</v>
      </c>
      <c r="K95" s="86">
        <f t="shared" si="21"/>
        <v>3.8833333333333275E-2</v>
      </c>
      <c r="L95" s="87">
        <f t="shared" si="22"/>
        <v>18367.483</v>
      </c>
      <c r="M95" s="67">
        <f t="shared" si="23"/>
        <v>87</v>
      </c>
      <c r="N95" s="68">
        <f t="shared" si="14"/>
        <v>1.8698999999999999</v>
      </c>
      <c r="O95" s="92">
        <f t="shared" si="26"/>
        <v>15979.44483542074</v>
      </c>
      <c r="P95" s="61">
        <f t="shared" si="27"/>
        <v>29522.325805063861</v>
      </c>
      <c r="Q95" s="93">
        <f t="shared" si="15"/>
        <v>-6277.3236573377944</v>
      </c>
      <c r="R95" s="61">
        <f t="shared" si="16"/>
        <v>29879.963897753241</v>
      </c>
      <c r="S95" s="100">
        <f t="shared" si="17"/>
        <v>-357.63809268937985</v>
      </c>
      <c r="T95" s="91">
        <f t="shared" si="24"/>
        <v>0</v>
      </c>
      <c r="U95" s="101"/>
      <c r="V95" s="61">
        <f t="shared" si="18"/>
        <v>23602.640240415447</v>
      </c>
      <c r="W95" s="61">
        <f t="shared" si="25"/>
        <v>23729.695431472082</v>
      </c>
    </row>
    <row r="96" spans="1:23" x14ac:dyDescent="0.25">
      <c r="A96" s="73">
        <f t="shared" si="20"/>
        <v>89</v>
      </c>
      <c r="C96" s="125">
        <v>46182.40625</v>
      </c>
      <c r="D96" s="126">
        <v>1.84</v>
      </c>
      <c r="E96" s="126">
        <v>1.845</v>
      </c>
      <c r="F96" s="126">
        <v>1.84</v>
      </c>
      <c r="G96" s="126">
        <v>1.845</v>
      </c>
      <c r="H96" s="124">
        <v>10043328</v>
      </c>
      <c r="I96" s="129">
        <f t="shared" si="19"/>
        <v>1.845</v>
      </c>
      <c r="K96" s="86">
        <f t="shared" si="21"/>
        <v>-1.331622011872291E-2</v>
      </c>
      <c r="L96" s="87">
        <f t="shared" si="22"/>
        <v>10043.328</v>
      </c>
      <c r="M96" s="67">
        <f t="shared" si="23"/>
        <v>88</v>
      </c>
      <c r="N96" s="68">
        <f t="shared" si="14"/>
        <v>1.845</v>
      </c>
      <c r="O96" s="92">
        <f t="shared" si="26"/>
        <v>15979.44483542074</v>
      </c>
      <c r="P96" s="61">
        <f t="shared" si="27"/>
        <v>29522.325805063861</v>
      </c>
      <c r="Q96" s="93">
        <f t="shared" si="15"/>
        <v>-6290.2539162847206</v>
      </c>
      <c r="R96" s="61">
        <f t="shared" si="16"/>
        <v>29482.075721351266</v>
      </c>
      <c r="S96" s="100">
        <f t="shared" si="17"/>
        <v>40.250083712595369</v>
      </c>
      <c r="T96" s="91">
        <f t="shared" si="24"/>
        <v>0</v>
      </c>
      <c r="U96" s="101"/>
      <c r="V96" s="61">
        <f t="shared" si="18"/>
        <v>23191.821805066545</v>
      </c>
      <c r="W96" s="61">
        <f t="shared" si="25"/>
        <v>23413.705583756346</v>
      </c>
    </row>
    <row r="97" spans="1:23" x14ac:dyDescent="0.25">
      <c r="A97" s="73">
        <f t="shared" si="20"/>
        <v>90</v>
      </c>
      <c r="C97" s="127">
        <v>46182.416666666657</v>
      </c>
      <c r="D97" s="128">
        <v>1.835</v>
      </c>
      <c r="E97" s="128">
        <v>1.85</v>
      </c>
      <c r="F97" s="128">
        <v>1.835</v>
      </c>
      <c r="G97" s="128">
        <v>1.835</v>
      </c>
      <c r="H97" s="124">
        <v>17567061</v>
      </c>
      <c r="I97" s="129">
        <f t="shared" si="19"/>
        <v>1.835</v>
      </c>
      <c r="K97" s="86">
        <f t="shared" si="21"/>
        <v>-5.4200542005420349E-3</v>
      </c>
      <c r="L97" s="87">
        <f t="shared" si="22"/>
        <v>17567.061000000002</v>
      </c>
      <c r="M97" s="67">
        <f t="shared" si="23"/>
        <v>89</v>
      </c>
      <c r="N97" s="68">
        <f t="shared" ref="N97:N160" si="28">I97</f>
        <v>1.835</v>
      </c>
      <c r="O97" s="92">
        <f t="shared" si="26"/>
        <v>15979.44483542074</v>
      </c>
      <c r="P97" s="61">
        <f t="shared" si="27"/>
        <v>29522.325805063861</v>
      </c>
      <c r="Q97" s="93">
        <f t="shared" ref="Q97:Q160" si="29">Q96*(1+Int)-T97</f>
        <v>-6303.2108094480045</v>
      </c>
      <c r="R97" s="61">
        <f t="shared" ref="R97:R160" si="30">Price*O96</f>
        <v>29322.281272997057</v>
      </c>
      <c r="S97" s="100">
        <f t="shared" ref="S97:S160" si="31">P96-SV</f>
        <v>200.04453206680409</v>
      </c>
      <c r="T97" s="91">
        <f t="shared" si="24"/>
        <v>0</v>
      </c>
      <c r="U97" s="101"/>
      <c r="V97" s="61">
        <f t="shared" si="18"/>
        <v>23019.070463549055</v>
      </c>
      <c r="W97" s="61">
        <f t="shared" si="25"/>
        <v>23286.802030456853</v>
      </c>
    </row>
    <row r="98" spans="1:23" x14ac:dyDescent="0.25">
      <c r="A98" s="73">
        <f t="shared" si="20"/>
        <v>91</v>
      </c>
      <c r="C98" s="125">
        <v>46182.4375</v>
      </c>
      <c r="D98" s="126">
        <v>1.84</v>
      </c>
      <c r="E98" s="126">
        <v>1.84</v>
      </c>
      <c r="F98" s="126">
        <v>1.84</v>
      </c>
      <c r="G98" s="126">
        <v>1.84</v>
      </c>
      <c r="H98" s="124">
        <v>14881262</v>
      </c>
      <c r="I98" s="129">
        <f t="shared" si="19"/>
        <v>1.84</v>
      </c>
      <c r="K98" s="86">
        <f t="shared" si="21"/>
        <v>2.7247956403271267E-3</v>
      </c>
      <c r="L98" s="87">
        <f t="shared" si="22"/>
        <v>14881.262000000001</v>
      </c>
      <c r="M98" s="67">
        <f t="shared" si="23"/>
        <v>90</v>
      </c>
      <c r="N98" s="68">
        <f t="shared" si="28"/>
        <v>1.84</v>
      </c>
      <c r="O98" s="92">
        <f t="shared" si="26"/>
        <v>15979.44483542074</v>
      </c>
      <c r="P98" s="61">
        <f t="shared" si="27"/>
        <v>29522.325805063861</v>
      </c>
      <c r="Q98" s="93">
        <f t="shared" si="29"/>
        <v>-6316.1943916897708</v>
      </c>
      <c r="R98" s="61">
        <f t="shared" si="30"/>
        <v>29402.178497174162</v>
      </c>
      <c r="S98" s="100">
        <f t="shared" si="31"/>
        <v>120.14730788969973</v>
      </c>
      <c r="T98" s="91">
        <f t="shared" si="24"/>
        <v>0</v>
      </c>
      <c r="U98" s="101"/>
      <c r="V98" s="61">
        <f t="shared" si="18"/>
        <v>23085.984105484393</v>
      </c>
      <c r="W98" s="61">
        <f t="shared" si="25"/>
        <v>23350.253807106601</v>
      </c>
    </row>
    <row r="99" spans="1:23" x14ac:dyDescent="0.25">
      <c r="A99" s="73">
        <f t="shared" si="20"/>
        <v>92</v>
      </c>
      <c r="C99" s="127">
        <v>46182.447916666657</v>
      </c>
      <c r="D99" s="128">
        <v>1.83</v>
      </c>
      <c r="E99" s="128">
        <v>1.83</v>
      </c>
      <c r="F99" s="128">
        <v>1.83</v>
      </c>
      <c r="G99" s="128">
        <v>1.83</v>
      </c>
      <c r="H99" s="124">
        <v>27942596</v>
      </c>
      <c r="I99" s="129">
        <f t="shared" si="19"/>
        <v>1.83</v>
      </c>
      <c r="K99" s="86">
        <f t="shared" si="21"/>
        <v>-5.4347826086956763E-3</v>
      </c>
      <c r="L99" s="87">
        <f t="shared" si="22"/>
        <v>27942.596000000001</v>
      </c>
      <c r="M99" s="67">
        <f t="shared" si="23"/>
        <v>91</v>
      </c>
      <c r="N99" s="68">
        <f t="shared" si="28"/>
        <v>1.83</v>
      </c>
      <c r="O99" s="92">
        <f t="shared" si="26"/>
        <v>15979.44483542074</v>
      </c>
      <c r="P99" s="61">
        <f t="shared" si="27"/>
        <v>29522.325805063861</v>
      </c>
      <c r="Q99" s="93">
        <f t="shared" si="29"/>
        <v>-6329.2047179851506</v>
      </c>
      <c r="R99" s="61">
        <f t="shared" si="30"/>
        <v>29242.384048819957</v>
      </c>
      <c r="S99" s="100">
        <f t="shared" si="31"/>
        <v>279.94175624390482</v>
      </c>
      <c r="T99" s="91">
        <f t="shared" si="24"/>
        <v>0</v>
      </c>
      <c r="U99" s="101"/>
      <c r="V99" s="61">
        <f t="shared" si="18"/>
        <v>22913.179330834806</v>
      </c>
      <c r="W99" s="61">
        <f t="shared" si="25"/>
        <v>23223.350253807108</v>
      </c>
    </row>
    <row r="100" spans="1:23" x14ac:dyDescent="0.25">
      <c r="A100" s="73">
        <f t="shared" si="20"/>
        <v>93</v>
      </c>
      <c r="C100" s="125">
        <v>46182.479166666657</v>
      </c>
      <c r="D100" s="126">
        <v>1.845</v>
      </c>
      <c r="E100" s="126">
        <v>1.845</v>
      </c>
      <c r="F100" s="126">
        <v>1.845</v>
      </c>
      <c r="G100" s="126">
        <v>1.845</v>
      </c>
      <c r="H100" s="124">
        <v>15444134</v>
      </c>
      <c r="I100" s="129">
        <f t="shared" si="19"/>
        <v>1.845</v>
      </c>
      <c r="K100" s="86">
        <f t="shared" si="21"/>
        <v>8.1967213114753079E-3</v>
      </c>
      <c r="L100" s="87">
        <f t="shared" si="22"/>
        <v>15444.134</v>
      </c>
      <c r="M100" s="67">
        <f t="shared" si="23"/>
        <v>92</v>
      </c>
      <c r="N100" s="68">
        <f t="shared" si="28"/>
        <v>1.845</v>
      </c>
      <c r="O100" s="92">
        <f t="shared" si="26"/>
        <v>15979.44483542074</v>
      </c>
      <c r="P100" s="61">
        <f t="shared" si="27"/>
        <v>29522.325805063861</v>
      </c>
      <c r="Q100" s="93">
        <f t="shared" si="29"/>
        <v>-6342.2418434225165</v>
      </c>
      <c r="R100" s="61">
        <f t="shared" si="30"/>
        <v>29482.075721351266</v>
      </c>
      <c r="S100" s="100">
        <f t="shared" si="31"/>
        <v>40.250083712595369</v>
      </c>
      <c r="T100" s="91">
        <f t="shared" si="24"/>
        <v>0</v>
      </c>
      <c r="U100" s="101"/>
      <c r="V100" s="61">
        <f t="shared" si="18"/>
        <v>23139.833877928751</v>
      </c>
      <c r="W100" s="61">
        <f t="shared" si="25"/>
        <v>23413.705583756346</v>
      </c>
    </row>
    <row r="101" spans="1:23" x14ac:dyDescent="0.25">
      <c r="A101" s="73">
        <f t="shared" si="20"/>
        <v>94</v>
      </c>
      <c r="C101" s="127">
        <v>46182.489583333343</v>
      </c>
      <c r="D101" s="128">
        <v>1.845</v>
      </c>
      <c r="E101" s="128">
        <v>1.845</v>
      </c>
      <c r="F101" s="128">
        <v>1.84</v>
      </c>
      <c r="G101" s="128">
        <v>1.84</v>
      </c>
      <c r="H101" s="124">
        <v>37277888</v>
      </c>
      <c r="I101" s="129">
        <f t="shared" si="19"/>
        <v>1.84</v>
      </c>
      <c r="K101" s="86">
        <f t="shared" si="21"/>
        <v>-2.7100271002709064E-3</v>
      </c>
      <c r="L101" s="87">
        <f t="shared" si="22"/>
        <v>37277.887999999999</v>
      </c>
      <c r="M101" s="67">
        <f t="shared" si="23"/>
        <v>93</v>
      </c>
      <c r="N101" s="68">
        <f t="shared" si="28"/>
        <v>1.84</v>
      </c>
      <c r="O101" s="92">
        <f t="shared" si="26"/>
        <v>15979.44483542074</v>
      </c>
      <c r="P101" s="61">
        <f t="shared" si="27"/>
        <v>29522.325805063861</v>
      </c>
      <c r="Q101" s="93">
        <f t="shared" si="29"/>
        <v>-6355.3058232037129</v>
      </c>
      <c r="R101" s="61">
        <f t="shared" si="30"/>
        <v>29402.178497174162</v>
      </c>
      <c r="S101" s="100">
        <f t="shared" si="31"/>
        <v>120.14730788969973</v>
      </c>
      <c r="T101" s="91">
        <f t="shared" si="24"/>
        <v>0</v>
      </c>
      <c r="U101" s="101"/>
      <c r="V101" s="61">
        <f t="shared" si="18"/>
        <v>23046.872673970451</v>
      </c>
      <c r="W101" s="61">
        <f t="shared" si="25"/>
        <v>23350.253807106601</v>
      </c>
    </row>
    <row r="102" spans="1:23" x14ac:dyDescent="0.25">
      <c r="A102" s="73">
        <f t="shared" si="20"/>
        <v>95</v>
      </c>
      <c r="C102" s="125">
        <v>46182.5</v>
      </c>
      <c r="D102" s="126">
        <v>1.845</v>
      </c>
      <c r="E102" s="126">
        <v>1.845</v>
      </c>
      <c r="F102" s="126">
        <v>1.84</v>
      </c>
      <c r="G102" s="126">
        <v>1.84</v>
      </c>
      <c r="H102" s="124">
        <v>15039521</v>
      </c>
      <c r="I102" s="129">
        <f t="shared" si="19"/>
        <v>1.84</v>
      </c>
      <c r="K102" s="86">
        <f t="shared" si="21"/>
        <v>0</v>
      </c>
      <c r="L102" s="87">
        <f t="shared" si="22"/>
        <v>15039.521000000001</v>
      </c>
      <c r="M102" s="67">
        <f t="shared" si="23"/>
        <v>94</v>
      </c>
      <c r="N102" s="68">
        <f t="shared" si="28"/>
        <v>1.84</v>
      </c>
      <c r="O102" s="92">
        <f t="shared" si="26"/>
        <v>15979.44483542074</v>
      </c>
      <c r="P102" s="61">
        <f t="shared" si="27"/>
        <v>29522.325805063861</v>
      </c>
      <c r="Q102" s="93">
        <f t="shared" si="29"/>
        <v>-6368.3967126442903</v>
      </c>
      <c r="R102" s="61">
        <f t="shared" si="30"/>
        <v>29402.178497174162</v>
      </c>
      <c r="S102" s="100">
        <f t="shared" si="31"/>
        <v>120.14730788969973</v>
      </c>
      <c r="T102" s="91">
        <f t="shared" si="24"/>
        <v>0</v>
      </c>
      <c r="U102" s="101"/>
      <c r="V102" s="61">
        <f t="shared" si="18"/>
        <v>23033.78178452987</v>
      </c>
      <c r="W102" s="61">
        <f t="shared" si="25"/>
        <v>23350.253807106601</v>
      </c>
    </row>
    <row r="103" spans="1:23" x14ac:dyDescent="0.25">
      <c r="A103" s="73">
        <f t="shared" si="20"/>
        <v>96</v>
      </c>
      <c r="C103" s="127">
        <v>46182.510416666657</v>
      </c>
      <c r="D103" s="128">
        <v>1.84</v>
      </c>
      <c r="E103" s="128">
        <v>1.84</v>
      </c>
      <c r="F103" s="128">
        <v>1.84</v>
      </c>
      <c r="G103" s="128">
        <v>1.84</v>
      </c>
      <c r="H103" s="124">
        <v>35597965</v>
      </c>
      <c r="I103" s="129">
        <f t="shared" si="19"/>
        <v>1.84</v>
      </c>
      <c r="K103" s="86">
        <f t="shared" si="21"/>
        <v>0</v>
      </c>
      <c r="L103" s="87">
        <f t="shared" si="22"/>
        <v>35597.964999999997</v>
      </c>
      <c r="M103" s="67">
        <f t="shared" si="23"/>
        <v>95</v>
      </c>
      <c r="N103" s="68">
        <f t="shared" si="28"/>
        <v>1.84</v>
      </c>
      <c r="O103" s="92">
        <f t="shared" si="26"/>
        <v>15979.44483542074</v>
      </c>
      <c r="P103" s="61">
        <f t="shared" si="27"/>
        <v>29522.325805063861</v>
      </c>
      <c r="Q103" s="93">
        <f t="shared" si="29"/>
        <v>-6381.5145671737428</v>
      </c>
      <c r="R103" s="61">
        <f t="shared" si="30"/>
        <v>29402.178497174162</v>
      </c>
      <c r="S103" s="100">
        <f t="shared" si="31"/>
        <v>120.14730788969973</v>
      </c>
      <c r="T103" s="91">
        <f t="shared" si="24"/>
        <v>0</v>
      </c>
      <c r="U103" s="101"/>
      <c r="V103" s="61">
        <f t="shared" si="18"/>
        <v>23020.663930000417</v>
      </c>
      <c r="W103" s="61">
        <f t="shared" si="25"/>
        <v>23350.253807106601</v>
      </c>
    </row>
    <row r="104" spans="1:23" x14ac:dyDescent="0.25">
      <c r="A104" s="73">
        <f t="shared" si="20"/>
        <v>97</v>
      </c>
      <c r="C104" s="125">
        <v>46182.520833333343</v>
      </c>
      <c r="D104" s="126">
        <v>1.84</v>
      </c>
      <c r="E104" s="126">
        <v>1.84</v>
      </c>
      <c r="F104" s="126">
        <v>1.84</v>
      </c>
      <c r="G104" s="126">
        <v>1.84</v>
      </c>
      <c r="H104" s="124">
        <v>25892321</v>
      </c>
      <c r="I104" s="129">
        <f t="shared" si="19"/>
        <v>1.84</v>
      </c>
      <c r="K104" s="86">
        <f t="shared" si="21"/>
        <v>0</v>
      </c>
      <c r="L104" s="87">
        <f t="shared" si="22"/>
        <v>25892.321</v>
      </c>
      <c r="M104" s="67">
        <f t="shared" si="23"/>
        <v>96</v>
      </c>
      <c r="N104" s="68">
        <f t="shared" si="28"/>
        <v>1.84</v>
      </c>
      <c r="O104" s="92">
        <f t="shared" si="26"/>
        <v>15979.44483542074</v>
      </c>
      <c r="P104" s="61">
        <f t="shared" si="27"/>
        <v>29522.325805063861</v>
      </c>
      <c r="Q104" s="93">
        <f t="shared" si="29"/>
        <v>-6394.6594423357374</v>
      </c>
      <c r="R104" s="61">
        <f t="shared" si="30"/>
        <v>29402.178497174162</v>
      </c>
      <c r="S104" s="100">
        <f t="shared" si="31"/>
        <v>120.14730788969973</v>
      </c>
      <c r="T104" s="91">
        <f t="shared" si="24"/>
        <v>0</v>
      </c>
      <c r="U104" s="101"/>
      <c r="V104" s="61">
        <f t="shared" si="18"/>
        <v>23007.519054838423</v>
      </c>
      <c r="W104" s="61">
        <f t="shared" si="25"/>
        <v>23350.253807106601</v>
      </c>
    </row>
    <row r="105" spans="1:23" x14ac:dyDescent="0.25">
      <c r="A105" s="73">
        <f t="shared" si="20"/>
        <v>98</v>
      </c>
      <c r="C105" s="127">
        <v>46182.53125</v>
      </c>
      <c r="D105" s="128">
        <v>1.83</v>
      </c>
      <c r="E105" s="128">
        <v>1.84</v>
      </c>
      <c r="F105" s="128">
        <v>1.8218000000000001</v>
      </c>
      <c r="G105" s="128">
        <v>1.8218000000000001</v>
      </c>
      <c r="H105" s="124">
        <v>37326627</v>
      </c>
      <c r="I105" s="129">
        <f t="shared" si="19"/>
        <v>1.8218000000000001</v>
      </c>
      <c r="K105" s="86">
        <f t="shared" si="21"/>
        <v>-9.8913043478260354E-3</v>
      </c>
      <c r="L105" s="87">
        <f t="shared" si="22"/>
        <v>37326.627</v>
      </c>
      <c r="M105" s="67">
        <f t="shared" si="23"/>
        <v>97</v>
      </c>
      <c r="N105" s="68">
        <f t="shared" si="28"/>
        <v>1.8218000000000001</v>
      </c>
      <c r="O105" s="92">
        <f t="shared" si="26"/>
        <v>15979.44483542074</v>
      </c>
      <c r="P105" s="61">
        <f t="shared" si="27"/>
        <v>29522.325805063861</v>
      </c>
      <c r="Q105" s="93">
        <f t="shared" si="29"/>
        <v>-6407.8313937883531</v>
      </c>
      <c r="R105" s="61">
        <f t="shared" si="30"/>
        <v>29111.352601169507</v>
      </c>
      <c r="S105" s="100">
        <f t="shared" si="31"/>
        <v>410.97320389435481</v>
      </c>
      <c r="T105" s="91">
        <f t="shared" si="24"/>
        <v>0</v>
      </c>
      <c r="U105" s="101"/>
      <c r="V105" s="61">
        <f t="shared" si="18"/>
        <v>22703.521207381153</v>
      </c>
      <c r="W105" s="61">
        <f t="shared" si="25"/>
        <v>23119.289340101524</v>
      </c>
    </row>
    <row r="106" spans="1:23" x14ac:dyDescent="0.25">
      <c r="A106" s="73">
        <f t="shared" si="20"/>
        <v>99</v>
      </c>
      <c r="C106" s="125">
        <v>46182.552083333343</v>
      </c>
      <c r="D106" s="126">
        <v>1.85</v>
      </c>
      <c r="E106" s="126">
        <v>1.8573999999999999</v>
      </c>
      <c r="F106" s="126">
        <v>1.85</v>
      </c>
      <c r="G106" s="126">
        <v>1.8573999999999999</v>
      </c>
      <c r="H106" s="124">
        <v>18074786</v>
      </c>
      <c r="I106" s="129">
        <f t="shared" si="19"/>
        <v>1.8573999999999999</v>
      </c>
      <c r="K106" s="86">
        <f t="shared" si="21"/>
        <v>1.954111318476226E-2</v>
      </c>
      <c r="L106" s="87">
        <f t="shared" si="22"/>
        <v>18074.786</v>
      </c>
      <c r="M106" s="67">
        <f t="shared" si="23"/>
        <v>98</v>
      </c>
      <c r="N106" s="68">
        <f t="shared" si="28"/>
        <v>1.8573999999999999</v>
      </c>
      <c r="O106" s="92">
        <f t="shared" si="26"/>
        <v>15979.44483542074</v>
      </c>
      <c r="P106" s="61">
        <f t="shared" si="27"/>
        <v>29522.325805063861</v>
      </c>
      <c r="Q106" s="93">
        <f t="shared" si="29"/>
        <v>-6421.0304773043154</v>
      </c>
      <c r="R106" s="61">
        <f t="shared" si="30"/>
        <v>29680.22083731048</v>
      </c>
      <c r="S106" s="100">
        <f t="shared" si="31"/>
        <v>-157.89503224661894</v>
      </c>
      <c r="T106" s="91">
        <f t="shared" si="24"/>
        <v>0</v>
      </c>
      <c r="U106" s="101"/>
      <c r="V106" s="61">
        <f t="shared" si="18"/>
        <v>23259.190360006163</v>
      </c>
      <c r="W106" s="61">
        <f t="shared" si="25"/>
        <v>23571.065989847717</v>
      </c>
    </row>
    <row r="107" spans="1:23" x14ac:dyDescent="0.25">
      <c r="A107" s="73">
        <f t="shared" si="20"/>
        <v>100</v>
      </c>
      <c r="C107" s="127">
        <v>46182.572916666657</v>
      </c>
      <c r="D107" s="128">
        <v>1.845</v>
      </c>
      <c r="E107" s="128">
        <v>1.85</v>
      </c>
      <c r="F107" s="128">
        <v>1.84</v>
      </c>
      <c r="G107" s="128">
        <v>1.85</v>
      </c>
      <c r="H107" s="124">
        <v>29709123</v>
      </c>
      <c r="I107" s="129">
        <f t="shared" si="19"/>
        <v>1.85</v>
      </c>
      <c r="K107" s="86">
        <f t="shared" si="21"/>
        <v>-3.9840637450198058E-3</v>
      </c>
      <c r="L107" s="87">
        <f t="shared" si="22"/>
        <v>29709.123</v>
      </c>
      <c r="M107" s="67">
        <f t="shared" si="23"/>
        <v>99</v>
      </c>
      <c r="N107" s="68">
        <f t="shared" si="28"/>
        <v>1.85</v>
      </c>
      <c r="O107" s="92">
        <f t="shared" si="26"/>
        <v>15979.44483542074</v>
      </c>
      <c r="P107" s="61">
        <f t="shared" si="27"/>
        <v>29522.325805063861</v>
      </c>
      <c r="Q107" s="93">
        <f t="shared" si="29"/>
        <v>-6434.2567487712322</v>
      </c>
      <c r="R107" s="61">
        <f t="shared" si="30"/>
        <v>29561.97294552837</v>
      </c>
      <c r="S107" s="100">
        <f t="shared" si="31"/>
        <v>-39.647140464508993</v>
      </c>
      <c r="T107" s="91">
        <f t="shared" si="24"/>
        <v>0</v>
      </c>
      <c r="U107" s="101"/>
      <c r="V107" s="61">
        <f t="shared" si="18"/>
        <v>23127.716196757137</v>
      </c>
      <c r="W107" s="61">
        <f t="shared" si="25"/>
        <v>23477.157360406094</v>
      </c>
    </row>
    <row r="108" spans="1:23" x14ac:dyDescent="0.25">
      <c r="A108" s="73">
        <f t="shared" si="20"/>
        <v>101</v>
      </c>
      <c r="C108" s="125">
        <v>46182.604166666657</v>
      </c>
      <c r="D108" s="126">
        <v>1.8482000000000001</v>
      </c>
      <c r="E108" s="126">
        <v>1.8482000000000001</v>
      </c>
      <c r="F108" s="126">
        <v>1.8482000000000001</v>
      </c>
      <c r="G108" s="126">
        <v>1.8482000000000001</v>
      </c>
      <c r="H108" s="124">
        <v>17133335</v>
      </c>
      <c r="I108" s="129">
        <f t="shared" si="19"/>
        <v>1.8482000000000001</v>
      </c>
      <c r="K108" s="86">
        <f t="shared" si="21"/>
        <v>-9.7297297297294083E-4</v>
      </c>
      <c r="L108" s="87">
        <f t="shared" si="22"/>
        <v>17133.334999999999</v>
      </c>
      <c r="M108" s="67">
        <f t="shared" si="23"/>
        <v>100</v>
      </c>
      <c r="N108" s="68">
        <f t="shared" si="28"/>
        <v>1.8482000000000001</v>
      </c>
      <c r="O108" s="92">
        <f t="shared" si="26"/>
        <v>15979.44483542074</v>
      </c>
      <c r="P108" s="61">
        <f t="shared" si="27"/>
        <v>29522.325805063861</v>
      </c>
      <c r="Q108" s="93">
        <f t="shared" si="29"/>
        <v>-6447.510264191832</v>
      </c>
      <c r="R108" s="61">
        <f t="shared" si="30"/>
        <v>29533.209944824612</v>
      </c>
      <c r="S108" s="100">
        <f t="shared" si="31"/>
        <v>-10.884139760750259</v>
      </c>
      <c r="T108" s="91">
        <f t="shared" si="24"/>
        <v>0</v>
      </c>
      <c r="U108" s="101"/>
      <c r="V108" s="61">
        <f t="shared" si="18"/>
        <v>23085.699680632781</v>
      </c>
      <c r="W108" s="61">
        <f t="shared" si="25"/>
        <v>23454.314720812185</v>
      </c>
    </row>
    <row r="109" spans="1:23" x14ac:dyDescent="0.25">
      <c r="A109" s="73">
        <f t="shared" si="20"/>
        <v>102</v>
      </c>
      <c r="C109" s="127">
        <v>46182.614583333343</v>
      </c>
      <c r="D109" s="128">
        <v>1.85</v>
      </c>
      <c r="E109" s="128">
        <v>1.85</v>
      </c>
      <c r="F109" s="128">
        <v>1.85</v>
      </c>
      <c r="G109" s="128">
        <v>1.85</v>
      </c>
      <c r="H109" s="124">
        <v>33479193</v>
      </c>
      <c r="I109" s="129">
        <f t="shared" si="19"/>
        <v>1.85</v>
      </c>
      <c r="K109" s="86">
        <f t="shared" si="21"/>
        <v>9.7392057136680421E-4</v>
      </c>
      <c r="L109" s="87">
        <f t="shared" si="22"/>
        <v>33479.192999999999</v>
      </c>
      <c r="M109" s="67">
        <f t="shared" si="23"/>
        <v>101</v>
      </c>
      <c r="N109" s="68">
        <f t="shared" si="28"/>
        <v>1.85</v>
      </c>
      <c r="O109" s="92">
        <f t="shared" si="26"/>
        <v>15979.44483542074</v>
      </c>
      <c r="P109" s="61">
        <f t="shared" si="27"/>
        <v>29522.325805063861</v>
      </c>
      <c r="Q109" s="93">
        <f t="shared" si="29"/>
        <v>-6460.7910796841979</v>
      </c>
      <c r="R109" s="61">
        <f t="shared" si="30"/>
        <v>29561.97294552837</v>
      </c>
      <c r="S109" s="100">
        <f t="shared" si="31"/>
        <v>-39.647140464508993</v>
      </c>
      <c r="T109" s="91">
        <f t="shared" si="24"/>
        <v>0</v>
      </c>
      <c r="U109" s="101"/>
      <c r="V109" s="61">
        <f t="shared" si="18"/>
        <v>23101.181865844173</v>
      </c>
      <c r="W109" s="61">
        <f t="shared" si="25"/>
        <v>23477.157360406094</v>
      </c>
    </row>
    <row r="110" spans="1:23" x14ac:dyDescent="0.25">
      <c r="A110" s="73">
        <f t="shared" si="20"/>
        <v>103</v>
      </c>
      <c r="C110" s="125">
        <v>46182.645833333343</v>
      </c>
      <c r="D110" s="126">
        <v>1.8597999999999999</v>
      </c>
      <c r="E110" s="126">
        <v>1.8597999999999999</v>
      </c>
      <c r="F110" s="126">
        <v>1.8592</v>
      </c>
      <c r="G110" s="126">
        <v>1.8592</v>
      </c>
      <c r="H110" s="124">
        <v>21289409</v>
      </c>
      <c r="I110" s="129">
        <f t="shared" si="19"/>
        <v>1.8592</v>
      </c>
      <c r="K110" s="86">
        <f t="shared" si="21"/>
        <v>4.9729729729728334E-3</v>
      </c>
      <c r="L110" s="87">
        <f t="shared" si="22"/>
        <v>21289.409</v>
      </c>
      <c r="M110" s="67">
        <f t="shared" si="23"/>
        <v>102</v>
      </c>
      <c r="N110" s="68">
        <f t="shared" si="28"/>
        <v>1.8592</v>
      </c>
      <c r="O110" s="92">
        <f t="shared" si="26"/>
        <v>15979.44483542074</v>
      </c>
      <c r="P110" s="61">
        <f t="shared" si="27"/>
        <v>29522.325805063861</v>
      </c>
      <c r="Q110" s="93">
        <f t="shared" si="29"/>
        <v>-6474.0992514820082</v>
      </c>
      <c r="R110" s="61">
        <f t="shared" si="30"/>
        <v>29708.983838014239</v>
      </c>
      <c r="S110" s="100">
        <f t="shared" si="31"/>
        <v>-186.65803295037767</v>
      </c>
      <c r="T110" s="91">
        <f t="shared" si="24"/>
        <v>0</v>
      </c>
      <c r="U110" s="101"/>
      <c r="V110" s="61">
        <f t="shared" si="18"/>
        <v>23234.884586532229</v>
      </c>
      <c r="W110" s="61">
        <f t="shared" si="25"/>
        <v>23593.908629441627</v>
      </c>
    </row>
    <row r="111" spans="1:23" x14ac:dyDescent="0.25">
      <c r="A111" s="73">
        <f t="shared" si="20"/>
        <v>104</v>
      </c>
      <c r="C111" s="127">
        <v>46182.65625</v>
      </c>
      <c r="D111" s="128">
        <v>1.8445</v>
      </c>
      <c r="E111" s="128">
        <v>1.845</v>
      </c>
      <c r="F111" s="128">
        <v>1.8445</v>
      </c>
      <c r="G111" s="128">
        <v>1.845</v>
      </c>
      <c r="H111" s="124">
        <v>32202023</v>
      </c>
      <c r="I111" s="129">
        <f t="shared" si="19"/>
        <v>1.845</v>
      </c>
      <c r="K111" s="86">
        <f t="shared" si="21"/>
        <v>-7.637693631669551E-3</v>
      </c>
      <c r="L111" s="87">
        <f t="shared" si="22"/>
        <v>32202.023000000001</v>
      </c>
      <c r="M111" s="67">
        <f t="shared" si="23"/>
        <v>103</v>
      </c>
      <c r="N111" s="68">
        <f t="shared" si="28"/>
        <v>1.845</v>
      </c>
      <c r="O111" s="92">
        <f t="shared" si="26"/>
        <v>15979.44483542074</v>
      </c>
      <c r="P111" s="61">
        <f t="shared" si="27"/>
        <v>29522.325805063861</v>
      </c>
      <c r="Q111" s="93">
        <f t="shared" si="29"/>
        <v>-6487.4348359347723</v>
      </c>
      <c r="R111" s="61">
        <f t="shared" si="30"/>
        <v>29482.075721351266</v>
      </c>
      <c r="S111" s="100">
        <f t="shared" si="31"/>
        <v>40.250083712595369</v>
      </c>
      <c r="T111" s="91">
        <f t="shared" si="24"/>
        <v>0</v>
      </c>
      <c r="U111" s="101"/>
      <c r="V111" s="61">
        <f t="shared" si="18"/>
        <v>22994.640885416495</v>
      </c>
      <c r="W111" s="61">
        <f t="shared" si="25"/>
        <v>23413.705583756346</v>
      </c>
    </row>
    <row r="112" spans="1:23" x14ac:dyDescent="0.25">
      <c r="A112" s="73">
        <f t="shared" si="20"/>
        <v>105</v>
      </c>
      <c r="C112" s="125">
        <v>46183.395833333343</v>
      </c>
      <c r="D112" s="126">
        <v>1.84</v>
      </c>
      <c r="E112" s="126">
        <v>1.84</v>
      </c>
      <c r="F112" s="126">
        <v>1.835</v>
      </c>
      <c r="G112" s="126">
        <v>1.835</v>
      </c>
      <c r="H112" s="124">
        <v>20656514</v>
      </c>
      <c r="I112" s="129">
        <f t="shared" si="19"/>
        <v>1.835</v>
      </c>
      <c r="K112" s="86">
        <f t="shared" si="21"/>
        <v>-5.4200542005420349E-3</v>
      </c>
      <c r="L112" s="87">
        <f t="shared" si="22"/>
        <v>20656.513999999999</v>
      </c>
      <c r="M112" s="67">
        <f t="shared" si="23"/>
        <v>104</v>
      </c>
      <c r="N112" s="68">
        <f t="shared" si="28"/>
        <v>1.835</v>
      </c>
      <c r="O112" s="92">
        <f t="shared" si="26"/>
        <v>15979.44483542074</v>
      </c>
      <c r="P112" s="61">
        <f t="shared" si="27"/>
        <v>29522.325805063861</v>
      </c>
      <c r="Q112" s="93">
        <f t="shared" si="29"/>
        <v>-6500.7978895080723</v>
      </c>
      <c r="R112" s="61">
        <f t="shared" si="30"/>
        <v>29322.281272997057</v>
      </c>
      <c r="S112" s="100">
        <f t="shared" si="31"/>
        <v>200.04453206680409</v>
      </c>
      <c r="T112" s="91">
        <f t="shared" si="24"/>
        <v>0</v>
      </c>
      <c r="U112" s="101"/>
      <c r="V112" s="61">
        <f t="shared" si="18"/>
        <v>22821.483383488987</v>
      </c>
      <c r="W112" s="61">
        <f t="shared" si="25"/>
        <v>23286.802030456853</v>
      </c>
    </row>
    <row r="113" spans="1:23" x14ac:dyDescent="0.25">
      <c r="A113" s="73">
        <f t="shared" si="20"/>
        <v>106</v>
      </c>
      <c r="C113" s="127">
        <v>46183.40625</v>
      </c>
      <c r="D113" s="128">
        <v>1.835</v>
      </c>
      <c r="E113" s="128">
        <v>1.84</v>
      </c>
      <c r="F113" s="128">
        <v>1.83</v>
      </c>
      <c r="G113" s="128">
        <v>1.84</v>
      </c>
      <c r="H113" s="124">
        <v>40038994</v>
      </c>
      <c r="I113" s="129">
        <f t="shared" si="19"/>
        <v>1.84</v>
      </c>
      <c r="K113" s="86">
        <f t="shared" si="21"/>
        <v>2.7247956403271267E-3</v>
      </c>
      <c r="L113" s="87">
        <f t="shared" si="22"/>
        <v>40038.993999999999</v>
      </c>
      <c r="M113" s="67">
        <f t="shared" si="23"/>
        <v>105</v>
      </c>
      <c r="N113" s="68">
        <f t="shared" si="28"/>
        <v>1.84</v>
      </c>
      <c r="O113" s="92">
        <f t="shared" si="26"/>
        <v>15979.44483542074</v>
      </c>
      <c r="P113" s="61">
        <f t="shared" si="27"/>
        <v>29522.325805063861</v>
      </c>
      <c r="Q113" s="93">
        <f t="shared" si="29"/>
        <v>-6514.1884687837983</v>
      </c>
      <c r="R113" s="61">
        <f t="shared" si="30"/>
        <v>29402.178497174162</v>
      </c>
      <c r="S113" s="100">
        <f t="shared" si="31"/>
        <v>120.14730788969973</v>
      </c>
      <c r="T113" s="91">
        <f t="shared" si="24"/>
        <v>0</v>
      </c>
      <c r="U113" s="101"/>
      <c r="V113" s="61">
        <f t="shared" si="18"/>
        <v>22887.990028390363</v>
      </c>
      <c r="W113" s="61">
        <f t="shared" si="25"/>
        <v>23350.253807106601</v>
      </c>
    </row>
    <row r="114" spans="1:23" x14ac:dyDescent="0.25">
      <c r="A114" s="73">
        <f t="shared" si="20"/>
        <v>107</v>
      </c>
      <c r="C114" s="125">
        <v>46183.510416666657</v>
      </c>
      <c r="D114" s="126">
        <v>1.89</v>
      </c>
      <c r="E114" s="126">
        <v>1.89</v>
      </c>
      <c r="F114" s="126">
        <v>1.89</v>
      </c>
      <c r="G114" s="126">
        <v>1.89</v>
      </c>
      <c r="H114" s="124">
        <v>22307195</v>
      </c>
      <c r="I114" s="129">
        <f t="shared" si="19"/>
        <v>1.89</v>
      </c>
      <c r="K114" s="86">
        <f t="shared" si="21"/>
        <v>2.7173913043478271E-2</v>
      </c>
      <c r="L114" s="87">
        <f t="shared" si="22"/>
        <v>22307.195</v>
      </c>
      <c r="M114" s="67">
        <f t="shared" si="23"/>
        <v>106</v>
      </c>
      <c r="N114" s="68">
        <f t="shared" si="28"/>
        <v>1.89</v>
      </c>
      <c r="O114" s="92">
        <f t="shared" si="26"/>
        <v>15979.44483542074</v>
      </c>
      <c r="P114" s="61">
        <f t="shared" si="27"/>
        <v>29522.325805063861</v>
      </c>
      <c r="Q114" s="93">
        <f t="shared" si="29"/>
        <v>-6527.6066304603901</v>
      </c>
      <c r="R114" s="61">
        <f t="shared" si="30"/>
        <v>30201.150738945198</v>
      </c>
      <c r="S114" s="100">
        <f t="shared" si="31"/>
        <v>-678.82493388133662</v>
      </c>
      <c r="T114" s="91">
        <f t="shared" si="24"/>
        <v>0</v>
      </c>
      <c r="U114" s="101"/>
      <c r="V114" s="61">
        <f t="shared" si="18"/>
        <v>23673.544108484806</v>
      </c>
      <c r="W114" s="61">
        <f t="shared" si="25"/>
        <v>23984.771573604063</v>
      </c>
    </row>
    <row r="115" spans="1:23" x14ac:dyDescent="0.25">
      <c r="A115" s="73">
        <f t="shared" si="20"/>
        <v>108</v>
      </c>
      <c r="C115" s="127">
        <v>46183.520833333343</v>
      </c>
      <c r="D115" s="128">
        <v>1.87</v>
      </c>
      <c r="E115" s="128">
        <v>1.87</v>
      </c>
      <c r="F115" s="128">
        <v>1.86</v>
      </c>
      <c r="G115" s="128">
        <v>1.86</v>
      </c>
      <c r="H115" s="124">
        <v>35331754</v>
      </c>
      <c r="I115" s="129">
        <f t="shared" si="19"/>
        <v>1.86</v>
      </c>
      <c r="K115" s="86">
        <f t="shared" si="21"/>
        <v>-1.5873015873015817E-2</v>
      </c>
      <c r="L115" s="87">
        <f t="shared" si="22"/>
        <v>35331.754000000001</v>
      </c>
      <c r="M115" s="67">
        <f t="shared" si="23"/>
        <v>107</v>
      </c>
      <c r="N115" s="68">
        <f t="shared" si="28"/>
        <v>1.86</v>
      </c>
      <c r="O115" s="92">
        <f t="shared" si="26"/>
        <v>15979.44483542074</v>
      </c>
      <c r="P115" s="61">
        <f t="shared" si="27"/>
        <v>29522.325805063861</v>
      </c>
      <c r="Q115" s="93">
        <f t="shared" si="29"/>
        <v>-6541.0524313530786</v>
      </c>
      <c r="R115" s="61">
        <f t="shared" si="30"/>
        <v>29721.767393882579</v>
      </c>
      <c r="S115" s="100">
        <f t="shared" si="31"/>
        <v>-199.44158881871772</v>
      </c>
      <c r="T115" s="91">
        <f t="shared" si="24"/>
        <v>0</v>
      </c>
      <c r="U115" s="101"/>
      <c r="V115" s="61">
        <f t="shared" si="18"/>
        <v>23180.714962529499</v>
      </c>
      <c r="W115" s="61">
        <f t="shared" si="25"/>
        <v>23604.060913705587</v>
      </c>
    </row>
    <row r="116" spans="1:23" x14ac:dyDescent="0.25">
      <c r="A116" s="73">
        <f t="shared" si="20"/>
        <v>109</v>
      </c>
      <c r="C116" s="125">
        <v>46183.53125</v>
      </c>
      <c r="D116" s="126">
        <v>1.85</v>
      </c>
      <c r="E116" s="126">
        <v>1.85</v>
      </c>
      <c r="F116" s="126">
        <v>1.84</v>
      </c>
      <c r="G116" s="126">
        <v>1.85</v>
      </c>
      <c r="H116" s="124">
        <v>20748539</v>
      </c>
      <c r="I116" s="129">
        <f t="shared" si="19"/>
        <v>1.85</v>
      </c>
      <c r="K116" s="86">
        <f t="shared" si="21"/>
        <v>-5.3763440860215006E-3</v>
      </c>
      <c r="L116" s="87">
        <f t="shared" si="22"/>
        <v>20748.539000000001</v>
      </c>
      <c r="M116" s="67">
        <f t="shared" si="23"/>
        <v>108</v>
      </c>
      <c r="N116" s="68">
        <f t="shared" si="28"/>
        <v>1.85</v>
      </c>
      <c r="O116" s="92">
        <f t="shared" si="26"/>
        <v>15979.44483542074</v>
      </c>
      <c r="P116" s="61">
        <f t="shared" si="27"/>
        <v>29522.325805063861</v>
      </c>
      <c r="Q116" s="93">
        <f t="shared" si="29"/>
        <v>-6554.5259283941232</v>
      </c>
      <c r="R116" s="61">
        <f t="shared" si="30"/>
        <v>29561.97294552837</v>
      </c>
      <c r="S116" s="100">
        <f t="shared" si="31"/>
        <v>-39.647140464508993</v>
      </c>
      <c r="T116" s="91">
        <f t="shared" si="24"/>
        <v>0</v>
      </c>
      <c r="U116" s="101"/>
      <c r="V116" s="61">
        <f t="shared" si="18"/>
        <v>23007.447017134247</v>
      </c>
      <c r="W116" s="61">
        <f t="shared" si="25"/>
        <v>23477.157360406094</v>
      </c>
    </row>
    <row r="117" spans="1:23" x14ac:dyDescent="0.25">
      <c r="A117" s="73">
        <f t="shared" si="20"/>
        <v>110</v>
      </c>
      <c r="C117" s="127">
        <v>46183.552083333343</v>
      </c>
      <c r="D117" s="128">
        <v>1.84</v>
      </c>
      <c r="E117" s="128">
        <v>1.84</v>
      </c>
      <c r="F117" s="128">
        <v>1.84</v>
      </c>
      <c r="G117" s="128">
        <v>1.84</v>
      </c>
      <c r="H117" s="124">
        <v>22598257</v>
      </c>
      <c r="I117" s="129">
        <f t="shared" si="19"/>
        <v>1.84</v>
      </c>
      <c r="K117" s="86">
        <f t="shared" si="21"/>
        <v>-5.4054054054054612E-3</v>
      </c>
      <c r="L117" s="87">
        <f t="shared" si="22"/>
        <v>22598.257000000001</v>
      </c>
      <c r="M117" s="67">
        <f t="shared" si="23"/>
        <v>109</v>
      </c>
      <c r="N117" s="68">
        <f t="shared" si="28"/>
        <v>1.84</v>
      </c>
      <c r="O117" s="92">
        <f t="shared" si="26"/>
        <v>15979.44483542074</v>
      </c>
      <c r="P117" s="61">
        <f t="shared" si="27"/>
        <v>29522.325805063861</v>
      </c>
      <c r="Q117" s="93">
        <f t="shared" si="29"/>
        <v>-6568.0271786330541</v>
      </c>
      <c r="R117" s="61">
        <f t="shared" si="30"/>
        <v>29402.178497174162</v>
      </c>
      <c r="S117" s="100">
        <f t="shared" si="31"/>
        <v>120.14730788969973</v>
      </c>
      <c r="T117" s="91">
        <f t="shared" si="24"/>
        <v>0</v>
      </c>
      <c r="U117" s="101"/>
      <c r="V117" s="61">
        <f t="shared" si="18"/>
        <v>22834.15131854111</v>
      </c>
      <c r="W117" s="61">
        <f t="shared" si="25"/>
        <v>23350.253807106601</v>
      </c>
    </row>
    <row r="118" spans="1:23" x14ac:dyDescent="0.25">
      <c r="A118" s="73">
        <f t="shared" si="20"/>
        <v>111</v>
      </c>
      <c r="C118" s="125">
        <v>46183.572916666657</v>
      </c>
      <c r="D118" s="126">
        <v>1.83</v>
      </c>
      <c r="E118" s="126">
        <v>1.83</v>
      </c>
      <c r="F118" s="126">
        <v>1.83</v>
      </c>
      <c r="G118" s="126">
        <v>1.83</v>
      </c>
      <c r="H118" s="124">
        <v>13841125</v>
      </c>
      <c r="I118" s="129">
        <f t="shared" si="19"/>
        <v>1.83</v>
      </c>
      <c r="K118" s="86">
        <f t="shared" si="21"/>
        <v>-5.4347826086956763E-3</v>
      </c>
      <c r="L118" s="87">
        <f t="shared" si="22"/>
        <v>13841.125</v>
      </c>
      <c r="M118" s="67">
        <f t="shared" si="23"/>
        <v>110</v>
      </c>
      <c r="N118" s="68">
        <f t="shared" si="28"/>
        <v>1.83</v>
      </c>
      <c r="O118" s="92">
        <f t="shared" si="26"/>
        <v>15979.44483542074</v>
      </c>
      <c r="P118" s="61">
        <f t="shared" si="27"/>
        <v>29522.325805063861</v>
      </c>
      <c r="Q118" s="93">
        <f t="shared" si="29"/>
        <v>-6581.5562392369156</v>
      </c>
      <c r="R118" s="61">
        <f t="shared" si="30"/>
        <v>29242.384048819957</v>
      </c>
      <c r="S118" s="100">
        <f t="shared" si="31"/>
        <v>279.94175624390482</v>
      </c>
      <c r="T118" s="91">
        <f t="shared" si="24"/>
        <v>0</v>
      </c>
      <c r="U118" s="101"/>
      <c r="V118" s="61">
        <f t="shared" si="18"/>
        <v>22660.827809583039</v>
      </c>
      <c r="W118" s="61">
        <f t="shared" si="25"/>
        <v>23223.350253807108</v>
      </c>
    </row>
    <row r="119" spans="1:23" x14ac:dyDescent="0.25">
      <c r="A119" s="73">
        <f t="shared" si="20"/>
        <v>112</v>
      </c>
      <c r="C119" s="127">
        <v>46183.59375</v>
      </c>
      <c r="D119" s="128">
        <v>1.83</v>
      </c>
      <c r="E119" s="128">
        <v>1.83</v>
      </c>
      <c r="F119" s="128">
        <v>1.83</v>
      </c>
      <c r="G119" s="128">
        <v>1.83</v>
      </c>
      <c r="H119" s="124">
        <v>29898922</v>
      </c>
      <c r="I119" s="129">
        <f t="shared" si="19"/>
        <v>1.83</v>
      </c>
      <c r="K119" s="86">
        <f t="shared" si="21"/>
        <v>0</v>
      </c>
      <c r="L119" s="87">
        <f t="shared" si="22"/>
        <v>29898.921999999999</v>
      </c>
      <c r="M119" s="67">
        <f t="shared" si="23"/>
        <v>111</v>
      </c>
      <c r="N119" s="68">
        <f t="shared" si="28"/>
        <v>1.83</v>
      </c>
      <c r="O119" s="92">
        <f t="shared" si="26"/>
        <v>15979.44483542074</v>
      </c>
      <c r="P119" s="61">
        <f t="shared" si="27"/>
        <v>29522.325805063861</v>
      </c>
      <c r="Q119" s="93">
        <f t="shared" si="29"/>
        <v>-6595.1131674905055</v>
      </c>
      <c r="R119" s="61">
        <f t="shared" si="30"/>
        <v>29242.384048819957</v>
      </c>
      <c r="S119" s="100">
        <f t="shared" si="31"/>
        <v>279.94175624390482</v>
      </c>
      <c r="T119" s="91">
        <f t="shared" si="24"/>
        <v>0</v>
      </c>
      <c r="U119" s="101"/>
      <c r="V119" s="61">
        <f t="shared" si="18"/>
        <v>22647.270881329452</v>
      </c>
      <c r="W119" s="61">
        <f t="shared" si="25"/>
        <v>23223.350253807108</v>
      </c>
    </row>
    <row r="120" spans="1:23" x14ac:dyDescent="0.25">
      <c r="A120" s="73">
        <f t="shared" si="20"/>
        <v>113</v>
      </c>
      <c r="C120" s="125">
        <v>46183.614583333343</v>
      </c>
      <c r="D120" s="126">
        <v>1.8149999999999999</v>
      </c>
      <c r="E120" s="126">
        <v>1.8149999999999999</v>
      </c>
      <c r="F120" s="126">
        <v>1.8149999999999999</v>
      </c>
      <c r="G120" s="126">
        <v>1.8149999999999999</v>
      </c>
      <c r="H120" s="124">
        <v>15672581</v>
      </c>
      <c r="I120" s="129">
        <f t="shared" si="19"/>
        <v>1.8149999999999999</v>
      </c>
      <c r="K120" s="86">
        <f t="shared" si="21"/>
        <v>-8.19672131147553E-3</v>
      </c>
      <c r="L120" s="87">
        <f t="shared" si="22"/>
        <v>15672.581</v>
      </c>
      <c r="M120" s="67">
        <f t="shared" si="23"/>
        <v>112</v>
      </c>
      <c r="N120" s="68">
        <f t="shared" si="28"/>
        <v>1.8149999999999999</v>
      </c>
      <c r="O120" s="92">
        <f t="shared" si="26"/>
        <v>15979.44483542074</v>
      </c>
      <c r="P120" s="61">
        <f t="shared" si="27"/>
        <v>29522.325805063861</v>
      </c>
      <c r="Q120" s="93">
        <f t="shared" si="29"/>
        <v>-6608.6980207966199</v>
      </c>
      <c r="R120" s="61">
        <f t="shared" si="30"/>
        <v>29002.692376288644</v>
      </c>
      <c r="S120" s="100">
        <f t="shared" si="31"/>
        <v>519.63342877521791</v>
      </c>
      <c r="T120" s="91">
        <f t="shared" si="24"/>
        <v>0</v>
      </c>
      <c r="U120" s="101"/>
      <c r="V120" s="61">
        <f t="shared" si="18"/>
        <v>22393.994355492025</v>
      </c>
      <c r="W120" s="61">
        <f t="shared" si="25"/>
        <v>23032.99492385787</v>
      </c>
    </row>
    <row r="121" spans="1:23" x14ac:dyDescent="0.25">
      <c r="A121" s="73">
        <f t="shared" si="20"/>
        <v>114</v>
      </c>
      <c r="C121" s="127">
        <v>46183.635416666657</v>
      </c>
      <c r="D121" s="128">
        <v>1.8149999999999999</v>
      </c>
      <c r="E121" s="128">
        <v>1.82</v>
      </c>
      <c r="F121" s="128">
        <v>1.8149999999999999</v>
      </c>
      <c r="G121" s="128">
        <v>1.8199000000000001</v>
      </c>
      <c r="H121" s="124">
        <v>23373670</v>
      </c>
      <c r="I121" s="129">
        <f t="shared" si="19"/>
        <v>1.8199000000000001</v>
      </c>
      <c r="K121" s="86">
        <f t="shared" si="21"/>
        <v>2.6997245179063434E-3</v>
      </c>
      <c r="L121" s="87">
        <f t="shared" si="22"/>
        <v>23373.67</v>
      </c>
      <c r="M121" s="67">
        <f t="shared" si="23"/>
        <v>113</v>
      </c>
      <c r="N121" s="68">
        <f t="shared" si="28"/>
        <v>1.8199000000000001</v>
      </c>
      <c r="O121" s="92">
        <f t="shared" si="26"/>
        <v>15979.44483542074</v>
      </c>
      <c r="P121" s="61">
        <f t="shared" si="27"/>
        <v>29522.325805063861</v>
      </c>
      <c r="Q121" s="93">
        <f t="shared" si="29"/>
        <v>-6622.3108566762949</v>
      </c>
      <c r="R121" s="61">
        <f t="shared" si="30"/>
        <v>29080.991655982205</v>
      </c>
      <c r="S121" s="100">
        <f t="shared" si="31"/>
        <v>441.33414908165651</v>
      </c>
      <c r="T121" s="91">
        <f t="shared" si="24"/>
        <v>0</v>
      </c>
      <c r="U121" s="101"/>
      <c r="V121" s="61">
        <f t="shared" si="18"/>
        <v>22458.680799305912</v>
      </c>
      <c r="W121" s="61">
        <f t="shared" si="25"/>
        <v>23095.177664974621</v>
      </c>
    </row>
    <row r="122" spans="1:23" x14ac:dyDescent="0.25">
      <c r="A122" s="73">
        <f t="shared" si="20"/>
        <v>115</v>
      </c>
      <c r="C122" s="125">
        <v>46183.65625</v>
      </c>
      <c r="D122" s="126">
        <v>1.82</v>
      </c>
      <c r="E122" s="126">
        <v>1.82</v>
      </c>
      <c r="F122" s="126">
        <v>1.81</v>
      </c>
      <c r="G122" s="126">
        <v>1.82</v>
      </c>
      <c r="H122" s="124">
        <v>11887902</v>
      </c>
      <c r="I122" s="129">
        <f t="shared" si="19"/>
        <v>1.82</v>
      </c>
      <c r="K122" s="86">
        <f t="shared" si="21"/>
        <v>5.4948074069915975E-5</v>
      </c>
      <c r="L122" s="87">
        <f t="shared" si="22"/>
        <v>11887.902</v>
      </c>
      <c r="M122" s="67">
        <f t="shared" si="23"/>
        <v>114</v>
      </c>
      <c r="N122" s="68">
        <f t="shared" si="28"/>
        <v>1.82</v>
      </c>
      <c r="O122" s="92">
        <f t="shared" si="26"/>
        <v>15979.44483542074</v>
      </c>
      <c r="P122" s="61">
        <f t="shared" si="27"/>
        <v>29522.325805063861</v>
      </c>
      <c r="Q122" s="93">
        <f t="shared" si="29"/>
        <v>-6635.9517327690501</v>
      </c>
      <c r="R122" s="61">
        <f t="shared" si="30"/>
        <v>29082.589600465748</v>
      </c>
      <c r="S122" s="100">
        <f t="shared" si="31"/>
        <v>439.73620459811355</v>
      </c>
      <c r="T122" s="91">
        <f t="shared" si="24"/>
        <v>0</v>
      </c>
      <c r="U122" s="101"/>
      <c r="V122" s="61">
        <f t="shared" si="18"/>
        <v>22446.6378676967</v>
      </c>
      <c r="W122" s="61">
        <f t="shared" si="25"/>
        <v>23096.446700507619</v>
      </c>
    </row>
    <row r="123" spans="1:23" x14ac:dyDescent="0.25">
      <c r="A123" s="73">
        <f t="shared" si="20"/>
        <v>116</v>
      </c>
      <c r="C123" s="127">
        <v>46184.395833333343</v>
      </c>
      <c r="D123" s="128">
        <v>1.82</v>
      </c>
      <c r="E123" s="128">
        <v>1.9432</v>
      </c>
      <c r="F123" s="128">
        <v>1.82</v>
      </c>
      <c r="G123" s="128">
        <v>1.9432</v>
      </c>
      <c r="H123" s="124">
        <v>20182523</v>
      </c>
      <c r="I123" s="129">
        <f t="shared" si="19"/>
        <v>1.9432</v>
      </c>
      <c r="K123" s="86">
        <f t="shared" si="21"/>
        <v>6.7692307692307718E-2</v>
      </c>
      <c r="L123" s="87">
        <f t="shared" si="22"/>
        <v>20182.523000000001</v>
      </c>
      <c r="M123" s="67">
        <f t="shared" si="23"/>
        <v>115</v>
      </c>
      <c r="N123" s="68">
        <f t="shared" si="28"/>
        <v>1.9432</v>
      </c>
      <c r="O123" s="92">
        <f t="shared" si="26"/>
        <v>15512.222596309</v>
      </c>
      <c r="P123" s="61">
        <f t="shared" si="27"/>
        <v>29522.325805063861</v>
      </c>
      <c r="Q123" s="93">
        <f t="shared" si="29"/>
        <v>-5741.7144517912029</v>
      </c>
      <c r="R123" s="61">
        <f t="shared" si="30"/>
        <v>31051.257204189584</v>
      </c>
      <c r="S123" s="100">
        <f t="shared" si="31"/>
        <v>-1528.9313991257222</v>
      </c>
      <c r="T123" s="91">
        <f t="shared" si="24"/>
        <v>-907.90625504193054</v>
      </c>
      <c r="U123" s="101"/>
      <c r="V123" s="61">
        <f t="shared" si="18"/>
        <v>24401.636497356449</v>
      </c>
      <c r="W123" s="61">
        <f t="shared" si="25"/>
        <v>24659.898477157363</v>
      </c>
    </row>
    <row r="124" spans="1:23" x14ac:dyDescent="0.25">
      <c r="A124" s="73">
        <f t="shared" si="20"/>
        <v>117</v>
      </c>
      <c r="C124" s="125">
        <v>46184.40625</v>
      </c>
      <c r="D124" s="126">
        <v>1.87</v>
      </c>
      <c r="E124" s="126">
        <v>1.87</v>
      </c>
      <c r="F124" s="126">
        <v>1.87</v>
      </c>
      <c r="G124" s="126">
        <v>1.87</v>
      </c>
      <c r="H124" s="124">
        <v>13821660</v>
      </c>
      <c r="I124" s="129">
        <f t="shared" si="19"/>
        <v>1.87</v>
      </c>
      <c r="K124" s="86">
        <f t="shared" si="21"/>
        <v>-3.7669822972416611E-2</v>
      </c>
      <c r="L124" s="87">
        <f t="shared" si="22"/>
        <v>13821.66</v>
      </c>
      <c r="M124" s="67">
        <f t="shared" si="23"/>
        <v>116</v>
      </c>
      <c r="N124" s="68">
        <f t="shared" si="28"/>
        <v>1.87</v>
      </c>
      <c r="O124" s="92">
        <f t="shared" si="26"/>
        <v>15512.222596309</v>
      </c>
      <c r="P124" s="61">
        <f t="shared" si="27"/>
        <v>29522.325805063861</v>
      </c>
      <c r="Q124" s="93">
        <f t="shared" si="29"/>
        <v>-5753.5414434700824</v>
      </c>
      <c r="R124" s="61">
        <f t="shared" si="30"/>
        <v>29007.856255097831</v>
      </c>
      <c r="S124" s="100">
        <f t="shared" si="31"/>
        <v>514.46954996603017</v>
      </c>
      <c r="T124" s="91">
        <f t="shared" si="24"/>
        <v>0</v>
      </c>
      <c r="U124" s="101"/>
      <c r="V124" s="61">
        <f t="shared" si="18"/>
        <v>23254.314811627748</v>
      </c>
      <c r="W124" s="61">
        <f t="shared" si="25"/>
        <v>23730.96446700508</v>
      </c>
    </row>
    <row r="125" spans="1:23" x14ac:dyDescent="0.25">
      <c r="A125" s="73">
        <f t="shared" si="20"/>
        <v>118</v>
      </c>
      <c r="C125" s="127">
        <v>46184.4375</v>
      </c>
      <c r="D125" s="128">
        <v>1.84</v>
      </c>
      <c r="E125" s="128">
        <v>1.84</v>
      </c>
      <c r="F125" s="128">
        <v>1.84</v>
      </c>
      <c r="G125" s="128">
        <v>1.84</v>
      </c>
      <c r="H125" s="124">
        <v>18527837</v>
      </c>
      <c r="I125" s="129">
        <f t="shared" si="19"/>
        <v>1.84</v>
      </c>
      <c r="K125" s="86">
        <f t="shared" si="21"/>
        <v>-1.6042780748663166E-2</v>
      </c>
      <c r="L125" s="87">
        <f t="shared" si="22"/>
        <v>18527.837</v>
      </c>
      <c r="M125" s="67">
        <f t="shared" si="23"/>
        <v>117</v>
      </c>
      <c r="N125" s="68">
        <f t="shared" si="28"/>
        <v>1.84</v>
      </c>
      <c r="O125" s="92">
        <f t="shared" si="26"/>
        <v>15734.497833434614</v>
      </c>
      <c r="P125" s="61">
        <f t="shared" si="27"/>
        <v>29829.065632297206</v>
      </c>
      <c r="Q125" s="93">
        <f t="shared" si="29"/>
        <v>-6174.379233126514</v>
      </c>
      <c r="R125" s="61">
        <f t="shared" si="30"/>
        <v>28542.489577208562</v>
      </c>
      <c r="S125" s="100">
        <f t="shared" si="31"/>
        <v>979.83622785529951</v>
      </c>
      <c r="T125" s="91">
        <f t="shared" si="24"/>
        <v>408.98643631112827</v>
      </c>
      <c r="U125" s="101"/>
      <c r="V125" s="61">
        <f t="shared" si="18"/>
        <v>22777.096780393178</v>
      </c>
      <c r="W125" s="61">
        <f t="shared" si="25"/>
        <v>23350.253807106601</v>
      </c>
    </row>
    <row r="126" spans="1:23" x14ac:dyDescent="0.25">
      <c r="A126" s="73">
        <f t="shared" si="20"/>
        <v>119</v>
      </c>
      <c r="C126" s="125">
        <v>46184.447916666657</v>
      </c>
      <c r="D126" s="126">
        <v>1.84</v>
      </c>
      <c r="E126" s="126">
        <v>1.84</v>
      </c>
      <c r="F126" s="126">
        <v>1.8201000000000001</v>
      </c>
      <c r="G126" s="126">
        <v>1.8201000000000001</v>
      </c>
      <c r="H126" s="124">
        <v>9250131</v>
      </c>
      <c r="I126" s="129">
        <f t="shared" si="19"/>
        <v>1.8201000000000001</v>
      </c>
      <c r="K126" s="86">
        <f t="shared" si="21"/>
        <v>-1.081521739130431E-2</v>
      </c>
      <c r="L126" s="87">
        <f t="shared" si="22"/>
        <v>9250.1309999999994</v>
      </c>
      <c r="M126" s="67">
        <f t="shared" si="23"/>
        <v>118</v>
      </c>
      <c r="N126" s="68">
        <f t="shared" si="28"/>
        <v>1.8201000000000001</v>
      </c>
      <c r="O126" s="92">
        <f t="shared" si="26"/>
        <v>16074.006066790023</v>
      </c>
      <c r="P126" s="61">
        <f t="shared" si="27"/>
        <v>30292.51983394484</v>
      </c>
      <c r="Q126" s="93">
        <f t="shared" si="29"/>
        <v>-6805.0363789448511</v>
      </c>
      <c r="R126" s="61">
        <f t="shared" si="30"/>
        <v>28638.359506634341</v>
      </c>
      <c r="S126" s="100">
        <f t="shared" si="31"/>
        <v>1190.7061256628658</v>
      </c>
      <c r="T126" s="91">
        <f t="shared" si="24"/>
        <v>617.93893553017904</v>
      </c>
      <c r="U126" s="101"/>
      <c r="V126" s="61">
        <f t="shared" si="18"/>
        <v>22451.26206321967</v>
      </c>
      <c r="W126" s="61">
        <f t="shared" si="25"/>
        <v>23097.715736040613</v>
      </c>
    </row>
    <row r="127" spans="1:23" x14ac:dyDescent="0.25">
      <c r="A127" s="73">
        <f t="shared" si="20"/>
        <v>120</v>
      </c>
      <c r="C127" s="127">
        <v>46184.458333333343</v>
      </c>
      <c r="D127" s="128">
        <v>1.82</v>
      </c>
      <c r="E127" s="128">
        <v>1.82</v>
      </c>
      <c r="F127" s="128">
        <v>1.82</v>
      </c>
      <c r="G127" s="128">
        <v>1.82</v>
      </c>
      <c r="H127" s="124">
        <v>29267391</v>
      </c>
      <c r="I127" s="129">
        <f t="shared" si="19"/>
        <v>1.82</v>
      </c>
      <c r="K127" s="86">
        <f t="shared" si="21"/>
        <v>-5.4942036151861551E-5</v>
      </c>
      <c r="L127" s="87">
        <f t="shared" si="22"/>
        <v>29267.391</v>
      </c>
      <c r="M127" s="67">
        <f t="shared" si="23"/>
        <v>119</v>
      </c>
      <c r="N127" s="68">
        <f t="shared" si="28"/>
        <v>1.82</v>
      </c>
      <c r="O127" s="92">
        <f t="shared" si="26"/>
        <v>16322.761545666859</v>
      </c>
      <c r="P127" s="61">
        <f t="shared" si="27"/>
        <v>30632.071062611722</v>
      </c>
      <c r="Q127" s="93">
        <f t="shared" si="29"/>
        <v>-7271.7886112516417</v>
      </c>
      <c r="R127" s="61">
        <f t="shared" si="30"/>
        <v>29254.691041557842</v>
      </c>
      <c r="S127" s="100">
        <f t="shared" si="31"/>
        <v>1037.8287923869975</v>
      </c>
      <c r="T127" s="91">
        <f t="shared" si="24"/>
        <v>452.73497155584062</v>
      </c>
      <c r="U127" s="101"/>
      <c r="V127" s="61">
        <f t="shared" si="18"/>
        <v>22435.637401862041</v>
      </c>
      <c r="W127" s="61">
        <f t="shared" si="25"/>
        <v>23096.446700507619</v>
      </c>
    </row>
    <row r="128" spans="1:23" x14ac:dyDescent="0.25">
      <c r="A128" s="73">
        <f t="shared" si="20"/>
        <v>121</v>
      </c>
      <c r="C128" s="125">
        <v>46184.510416666657</v>
      </c>
      <c r="D128" s="126">
        <v>1.82</v>
      </c>
      <c r="E128" s="126">
        <v>1.82</v>
      </c>
      <c r="F128" s="126">
        <v>1.8167</v>
      </c>
      <c r="G128" s="126">
        <v>1.82</v>
      </c>
      <c r="H128" s="124">
        <v>12705218</v>
      </c>
      <c r="I128" s="129">
        <f t="shared" si="19"/>
        <v>1.82</v>
      </c>
      <c r="K128" s="86">
        <f t="shared" si="21"/>
        <v>0</v>
      </c>
      <c r="L128" s="87">
        <f t="shared" si="22"/>
        <v>12705.218000000001</v>
      </c>
      <c r="M128" s="67">
        <f t="shared" si="23"/>
        <v>120</v>
      </c>
      <c r="N128" s="68">
        <f t="shared" si="28"/>
        <v>1.82</v>
      </c>
      <c r="O128" s="92">
        <f t="shared" si="26"/>
        <v>16504.353045246949</v>
      </c>
      <c r="P128" s="61">
        <f t="shared" si="27"/>
        <v>30879.943459538546</v>
      </c>
      <c r="Q128" s="93">
        <f t="shared" si="29"/>
        <v>-7617.2638344154921</v>
      </c>
      <c r="R128" s="61">
        <f t="shared" si="30"/>
        <v>29707.426013113683</v>
      </c>
      <c r="S128" s="100">
        <f t="shared" si="31"/>
        <v>924.64504949803813</v>
      </c>
      <c r="T128" s="91">
        <f t="shared" si="24"/>
        <v>330.49652923576446</v>
      </c>
      <c r="U128" s="101"/>
      <c r="V128" s="61">
        <f t="shared" si="18"/>
        <v>22420.658707933959</v>
      </c>
      <c r="W128" s="61">
        <f t="shared" si="25"/>
        <v>23096.446700507619</v>
      </c>
    </row>
    <row r="129" spans="1:23" x14ac:dyDescent="0.25">
      <c r="A129" s="73">
        <f t="shared" si="20"/>
        <v>122</v>
      </c>
      <c r="C129" s="127">
        <v>46184.552083333343</v>
      </c>
      <c r="D129" s="128">
        <v>1.81</v>
      </c>
      <c r="E129" s="128">
        <v>1.81</v>
      </c>
      <c r="F129" s="128">
        <v>1.81</v>
      </c>
      <c r="G129" s="128">
        <v>1.81</v>
      </c>
      <c r="H129" s="124">
        <v>23840015</v>
      </c>
      <c r="I129" s="129">
        <f t="shared" si="19"/>
        <v>1.81</v>
      </c>
      <c r="K129" s="86">
        <f t="shared" si="21"/>
        <v>-5.494505494505475E-3</v>
      </c>
      <c r="L129" s="87">
        <f t="shared" si="22"/>
        <v>23840.014999999999</v>
      </c>
      <c r="M129" s="67">
        <f t="shared" si="23"/>
        <v>121</v>
      </c>
      <c r="N129" s="68">
        <f t="shared" si="28"/>
        <v>1.81</v>
      </c>
      <c r="O129" s="92">
        <f t="shared" si="26"/>
        <v>16730.655181934035</v>
      </c>
      <c r="P129" s="61">
        <f t="shared" si="27"/>
        <v>31187.148610091266</v>
      </c>
      <c r="Q129" s="93">
        <f t="shared" si="29"/>
        <v>-8042.561018142208</v>
      </c>
      <c r="R129" s="61">
        <f t="shared" si="30"/>
        <v>29872.879011896981</v>
      </c>
      <c r="S129" s="100">
        <f t="shared" si="31"/>
        <v>1007.0644476415655</v>
      </c>
      <c r="T129" s="91">
        <f t="shared" si="24"/>
        <v>409.60686740362587</v>
      </c>
      <c r="U129" s="101"/>
      <c r="V129" s="61">
        <f t="shared" si="18"/>
        <v>22239.924861158393</v>
      </c>
      <c r="W129" s="61">
        <f t="shared" si="25"/>
        <v>22969.543147208125</v>
      </c>
    </row>
    <row r="130" spans="1:23" x14ac:dyDescent="0.25">
      <c r="A130" s="73">
        <f t="shared" si="20"/>
        <v>123</v>
      </c>
      <c r="C130" s="125">
        <v>46184.572916666657</v>
      </c>
      <c r="D130" s="126">
        <v>1.8</v>
      </c>
      <c r="E130" s="126">
        <v>1.8</v>
      </c>
      <c r="F130" s="126">
        <v>1.8</v>
      </c>
      <c r="G130" s="126">
        <v>1.8</v>
      </c>
      <c r="H130" s="124">
        <v>12325263</v>
      </c>
      <c r="I130" s="129">
        <f t="shared" si="19"/>
        <v>1.8</v>
      </c>
      <c r="K130" s="86">
        <f t="shared" si="21"/>
        <v>-5.5248618784530246E-3</v>
      </c>
      <c r="L130" s="87">
        <f t="shared" si="22"/>
        <v>12325.263000000001</v>
      </c>
      <c r="M130" s="67">
        <f t="shared" si="23"/>
        <v>122</v>
      </c>
      <c r="N130" s="68">
        <f t="shared" si="28"/>
        <v>1.8</v>
      </c>
      <c r="O130" s="92">
        <f t="shared" si="26"/>
        <v>16991.580568634246</v>
      </c>
      <c r="P130" s="61">
        <f t="shared" si="27"/>
        <v>31539.397882136549</v>
      </c>
      <c r="Q130" s="93">
        <f t="shared" si="29"/>
        <v>-8528.793073090179</v>
      </c>
      <c r="R130" s="61">
        <f t="shared" si="30"/>
        <v>30115.179327481263</v>
      </c>
      <c r="S130" s="100">
        <f t="shared" si="31"/>
        <v>1071.9692826100036</v>
      </c>
      <c r="T130" s="91">
        <f t="shared" si="24"/>
        <v>469.66569606037831</v>
      </c>
      <c r="U130" s="101"/>
      <c r="V130" s="61">
        <f t="shared" si="18"/>
        <v>22056.051950451467</v>
      </c>
      <c r="W130" s="61">
        <f t="shared" si="25"/>
        <v>22842.639593908632</v>
      </c>
    </row>
    <row r="131" spans="1:23" x14ac:dyDescent="0.25">
      <c r="A131" s="73">
        <f t="shared" si="20"/>
        <v>124</v>
      </c>
      <c r="C131" s="127">
        <v>46184.583333333343</v>
      </c>
      <c r="D131" s="128">
        <v>1.8109</v>
      </c>
      <c r="E131" s="128">
        <v>1.8109</v>
      </c>
      <c r="F131" s="128">
        <v>1.8109</v>
      </c>
      <c r="G131" s="128">
        <v>1.8109</v>
      </c>
      <c r="H131" s="124">
        <v>26732354</v>
      </c>
      <c r="I131" s="129">
        <f t="shared" si="19"/>
        <v>1.8109</v>
      </c>
      <c r="K131" s="86">
        <f t="shared" si="21"/>
        <v>6.0555555555554808E-3</v>
      </c>
      <c r="L131" s="87">
        <f t="shared" si="22"/>
        <v>26732.353999999999</v>
      </c>
      <c r="M131" s="67">
        <f t="shared" si="23"/>
        <v>123</v>
      </c>
      <c r="N131" s="68">
        <f t="shared" si="28"/>
        <v>1.8109</v>
      </c>
      <c r="O131" s="92">
        <f t="shared" si="26"/>
        <v>17076.589992325229</v>
      </c>
      <c r="P131" s="61">
        <f t="shared" si="27"/>
        <v>31654.855556158047</v>
      </c>
      <c r="Q131" s="93">
        <f t="shared" si="29"/>
        <v>-8700.3045557621117</v>
      </c>
      <c r="R131" s="61">
        <f t="shared" si="30"/>
        <v>30770.053251739755</v>
      </c>
      <c r="S131" s="100">
        <f t="shared" si="31"/>
        <v>769.34463039679395</v>
      </c>
      <c r="T131" s="91">
        <f t="shared" si="24"/>
        <v>153.94356536199882</v>
      </c>
      <c r="U131" s="101"/>
      <c r="V131" s="61">
        <f t="shared" si="18"/>
        <v>22223.692261339645</v>
      </c>
      <c r="W131" s="61">
        <f t="shared" si="25"/>
        <v>22980.964467005077</v>
      </c>
    </row>
    <row r="132" spans="1:23" x14ac:dyDescent="0.25">
      <c r="A132" s="73">
        <f t="shared" si="20"/>
        <v>125</v>
      </c>
      <c r="C132" s="125">
        <v>46184.625</v>
      </c>
      <c r="D132" s="126">
        <v>1.82</v>
      </c>
      <c r="E132" s="126">
        <v>1.82</v>
      </c>
      <c r="F132" s="126">
        <v>1.82</v>
      </c>
      <c r="G132" s="126">
        <v>1.82</v>
      </c>
      <c r="H132" s="124">
        <v>12465777</v>
      </c>
      <c r="I132" s="129">
        <f t="shared" si="19"/>
        <v>1.82</v>
      </c>
      <c r="K132" s="86">
        <f t="shared" si="21"/>
        <v>5.0251256281408363E-3</v>
      </c>
      <c r="L132" s="87">
        <f t="shared" si="22"/>
        <v>12465.777</v>
      </c>
      <c r="M132" s="67">
        <f t="shared" si="23"/>
        <v>124</v>
      </c>
      <c r="N132" s="68">
        <f t="shared" si="28"/>
        <v>1.82</v>
      </c>
      <c r="O132" s="92">
        <f t="shared" si="26"/>
        <v>17076.589992325229</v>
      </c>
      <c r="P132" s="61">
        <f t="shared" si="27"/>
        <v>31654.855556158047</v>
      </c>
      <c r="Q132" s="93">
        <f t="shared" si="29"/>
        <v>-8718.2257586447486</v>
      </c>
      <c r="R132" s="61">
        <f t="shared" si="30"/>
        <v>31079.393786031917</v>
      </c>
      <c r="S132" s="100">
        <f t="shared" si="31"/>
        <v>575.46177012613043</v>
      </c>
      <c r="T132" s="91">
        <f t="shared" si="24"/>
        <v>0</v>
      </c>
      <c r="U132" s="101"/>
      <c r="V132" s="61">
        <f t="shared" si="18"/>
        <v>22361.168027387168</v>
      </c>
      <c r="W132" s="61">
        <f t="shared" si="25"/>
        <v>23096.446700507619</v>
      </c>
    </row>
    <row r="133" spans="1:23" x14ac:dyDescent="0.25">
      <c r="A133" s="73">
        <f t="shared" si="20"/>
        <v>126</v>
      </c>
      <c r="C133" s="127">
        <v>46184.65625</v>
      </c>
      <c r="D133" s="128">
        <v>1.83</v>
      </c>
      <c r="E133" s="128">
        <v>1.8399000000000001</v>
      </c>
      <c r="F133" s="128">
        <v>1.825</v>
      </c>
      <c r="G133" s="128">
        <v>1.825</v>
      </c>
      <c r="H133" s="124">
        <v>22662424</v>
      </c>
      <c r="I133" s="129">
        <f t="shared" si="19"/>
        <v>1.825</v>
      </c>
      <c r="K133" s="86">
        <f t="shared" si="21"/>
        <v>2.7472527472527375E-3</v>
      </c>
      <c r="L133" s="87">
        <f t="shared" si="22"/>
        <v>22662.423999999999</v>
      </c>
      <c r="M133" s="67">
        <f t="shared" si="23"/>
        <v>125</v>
      </c>
      <c r="N133" s="68">
        <f t="shared" si="28"/>
        <v>1.825</v>
      </c>
      <c r="O133" s="92">
        <f t="shared" si="26"/>
        <v>17076.589992325229</v>
      </c>
      <c r="P133" s="61">
        <f t="shared" si="27"/>
        <v>31654.855556158047</v>
      </c>
      <c r="Q133" s="93">
        <f t="shared" si="29"/>
        <v>-8736.1838762710831</v>
      </c>
      <c r="R133" s="61">
        <f t="shared" si="30"/>
        <v>31164.776735993542</v>
      </c>
      <c r="S133" s="100">
        <f t="shared" si="31"/>
        <v>490.07882016450458</v>
      </c>
      <c r="T133" s="91">
        <f t="shared" si="24"/>
        <v>0</v>
      </c>
      <c r="U133" s="101"/>
      <c r="V133" s="61">
        <f t="shared" si="18"/>
        <v>22428.592859722459</v>
      </c>
      <c r="W133" s="61">
        <f t="shared" si="25"/>
        <v>23159.898477157363</v>
      </c>
    </row>
    <row r="134" spans="1:23" x14ac:dyDescent="0.25">
      <c r="A134" s="73">
        <f t="shared" si="20"/>
        <v>127</v>
      </c>
      <c r="C134" s="125">
        <v>46185.416666666657</v>
      </c>
      <c r="D134" s="126">
        <v>1.81</v>
      </c>
      <c r="E134" s="126">
        <v>1.81</v>
      </c>
      <c r="F134" s="126">
        <v>1.81</v>
      </c>
      <c r="G134" s="126">
        <v>1.81</v>
      </c>
      <c r="H134" s="124">
        <v>9698013</v>
      </c>
      <c r="I134" s="129">
        <f t="shared" si="19"/>
        <v>1.81</v>
      </c>
      <c r="K134" s="86">
        <f t="shared" si="21"/>
        <v>-8.2191780821917471E-3</v>
      </c>
      <c r="L134" s="87">
        <f t="shared" si="22"/>
        <v>9698.0130000000008</v>
      </c>
      <c r="M134" s="67">
        <f t="shared" si="23"/>
        <v>126</v>
      </c>
      <c r="N134" s="68">
        <f t="shared" si="28"/>
        <v>1.81</v>
      </c>
      <c r="O134" s="92">
        <f t="shared" si="26"/>
        <v>17147.33867316899</v>
      </c>
      <c r="P134" s="61">
        <f t="shared" si="27"/>
        <v>31750.896890403452</v>
      </c>
      <c r="Q134" s="93">
        <f t="shared" si="29"/>
        <v>-8882.2340970066507</v>
      </c>
      <c r="R134" s="61">
        <f t="shared" si="30"/>
        <v>30908.627886108665</v>
      </c>
      <c r="S134" s="100">
        <f t="shared" si="31"/>
        <v>746.22767004938214</v>
      </c>
      <c r="T134" s="91">
        <f t="shared" si="24"/>
        <v>128.0551123272088</v>
      </c>
      <c r="U134" s="101"/>
      <c r="V134" s="61">
        <f t="shared" si="18"/>
        <v>22154.448901429223</v>
      </c>
      <c r="W134" s="61">
        <f t="shared" si="25"/>
        <v>22969.543147208125</v>
      </c>
    </row>
    <row r="135" spans="1:23" x14ac:dyDescent="0.25">
      <c r="A135" s="73">
        <f t="shared" si="20"/>
        <v>128</v>
      </c>
      <c r="C135" s="127">
        <v>46185.5</v>
      </c>
      <c r="D135" s="128">
        <v>1.8856999999999999</v>
      </c>
      <c r="E135" s="128">
        <v>1.8856999999999999</v>
      </c>
      <c r="F135" s="128">
        <v>1.8856999999999999</v>
      </c>
      <c r="G135" s="128">
        <v>1.8856999999999999</v>
      </c>
      <c r="H135" s="124">
        <v>15442056</v>
      </c>
      <c r="I135" s="129">
        <f t="shared" si="19"/>
        <v>1.8856999999999999</v>
      </c>
      <c r="K135" s="86">
        <f t="shared" si="21"/>
        <v>4.1823204419889404E-2</v>
      </c>
      <c r="L135" s="87">
        <f t="shared" si="22"/>
        <v>15442.056</v>
      </c>
      <c r="M135" s="67">
        <f t="shared" si="23"/>
        <v>127</v>
      </c>
      <c r="N135" s="68">
        <f t="shared" si="28"/>
        <v>1.8856999999999999</v>
      </c>
      <c r="O135" s="92">
        <f t="shared" si="26"/>
        <v>17147.33867316899</v>
      </c>
      <c r="P135" s="61">
        <f t="shared" si="27"/>
        <v>31750.896890403452</v>
      </c>
      <c r="Q135" s="93">
        <f t="shared" si="29"/>
        <v>-8900.5300449568986</v>
      </c>
      <c r="R135" s="61">
        <f t="shared" si="30"/>
        <v>32334.736535994762</v>
      </c>
      <c r="S135" s="100">
        <f t="shared" si="31"/>
        <v>-583.83964559130982</v>
      </c>
      <c r="T135" s="91">
        <f t="shared" si="24"/>
        <v>0</v>
      </c>
      <c r="U135" s="101"/>
      <c r="V135" s="61">
        <f t="shared" si="18"/>
        <v>23434.206491037861</v>
      </c>
      <c r="W135" s="61">
        <f t="shared" si="25"/>
        <v>23930.203045685281</v>
      </c>
    </row>
    <row r="136" spans="1:23" x14ac:dyDescent="0.25">
      <c r="A136" s="73">
        <f t="shared" si="20"/>
        <v>129</v>
      </c>
      <c r="C136" s="125">
        <v>46185.510416666657</v>
      </c>
      <c r="D136" s="126">
        <v>1.88</v>
      </c>
      <c r="E136" s="126">
        <v>1.88</v>
      </c>
      <c r="F136" s="126">
        <v>1.88</v>
      </c>
      <c r="G136" s="126">
        <v>1.88</v>
      </c>
      <c r="H136" s="124">
        <v>11119673</v>
      </c>
      <c r="I136" s="129">
        <f t="shared" si="19"/>
        <v>1.88</v>
      </c>
      <c r="K136" s="86">
        <f t="shared" si="21"/>
        <v>-3.0227501723497641E-3</v>
      </c>
      <c r="L136" s="87">
        <f t="shared" si="22"/>
        <v>11119.673000000001</v>
      </c>
      <c r="M136" s="67">
        <f t="shared" si="23"/>
        <v>128</v>
      </c>
      <c r="N136" s="68">
        <f t="shared" si="28"/>
        <v>1.88</v>
      </c>
      <c r="O136" s="92">
        <f t="shared" si="26"/>
        <v>17147.33867316899</v>
      </c>
      <c r="P136" s="61">
        <f t="shared" si="27"/>
        <v>31750.896890403452</v>
      </c>
      <c r="Q136" s="93">
        <f t="shared" si="29"/>
        <v>-8918.8636795643251</v>
      </c>
      <c r="R136" s="61">
        <f t="shared" si="30"/>
        <v>32236.9967055577</v>
      </c>
      <c r="S136" s="100">
        <f t="shared" si="31"/>
        <v>-486.09981515424806</v>
      </c>
      <c r="T136" s="91">
        <f t="shared" si="24"/>
        <v>0</v>
      </c>
      <c r="U136" s="101"/>
      <c r="V136" s="61">
        <f t="shared" ref="V136:V199" si="32">Units*Price+Q$8:Q$65536</f>
        <v>23318.133025993375</v>
      </c>
      <c r="W136" s="61">
        <f t="shared" si="25"/>
        <v>23857.86802030457</v>
      </c>
    </row>
    <row r="137" spans="1:23" x14ac:dyDescent="0.25">
      <c r="A137" s="73">
        <f t="shared" si="20"/>
        <v>130</v>
      </c>
      <c r="C137" s="127">
        <v>46185.572916666657</v>
      </c>
      <c r="D137" s="128">
        <v>1.855</v>
      </c>
      <c r="E137" s="128">
        <v>1.855</v>
      </c>
      <c r="F137" s="128">
        <v>1.855</v>
      </c>
      <c r="G137" s="128">
        <v>1.855</v>
      </c>
      <c r="H137" s="124">
        <v>21279488</v>
      </c>
      <c r="I137" s="129">
        <f t="shared" ref="I137:I200" si="33">G137</f>
        <v>1.855</v>
      </c>
      <c r="K137" s="86">
        <f t="shared" si="21"/>
        <v>-1.3297872340425454E-2</v>
      </c>
      <c r="L137" s="87">
        <f t="shared" si="22"/>
        <v>21279.488000000001</v>
      </c>
      <c r="M137" s="67">
        <f t="shared" si="23"/>
        <v>129</v>
      </c>
      <c r="N137" s="68">
        <f t="shared" si="28"/>
        <v>1.855</v>
      </c>
      <c r="O137" s="92">
        <f t="shared" si="26"/>
        <v>17147.33867316899</v>
      </c>
      <c r="P137" s="61">
        <f t="shared" si="27"/>
        <v>31750.896890403452</v>
      </c>
      <c r="Q137" s="93">
        <f t="shared" si="29"/>
        <v>-8937.2350784572754</v>
      </c>
      <c r="R137" s="61">
        <f t="shared" si="30"/>
        <v>31808.313238728475</v>
      </c>
      <c r="S137" s="100">
        <f t="shared" si="31"/>
        <v>-57.416348325023137</v>
      </c>
      <c r="T137" s="91">
        <f t="shared" si="24"/>
        <v>0</v>
      </c>
      <c r="U137" s="101"/>
      <c r="V137" s="61">
        <f t="shared" si="32"/>
        <v>22871.078160271201</v>
      </c>
      <c r="W137" s="61">
        <f t="shared" si="25"/>
        <v>23540.609137055839</v>
      </c>
    </row>
    <row r="138" spans="1:23" x14ac:dyDescent="0.25">
      <c r="A138" s="73">
        <f t="shared" ref="A138:A201" si="34">1+A137</f>
        <v>131</v>
      </c>
      <c r="C138" s="125">
        <v>46185.583333333343</v>
      </c>
      <c r="D138" s="126">
        <v>1.855</v>
      </c>
      <c r="E138" s="126">
        <v>1.855</v>
      </c>
      <c r="F138" s="126">
        <v>1.855</v>
      </c>
      <c r="G138" s="126">
        <v>1.855</v>
      </c>
      <c r="H138" s="124">
        <v>12702406</v>
      </c>
      <c r="I138" s="129">
        <f t="shared" si="33"/>
        <v>1.855</v>
      </c>
      <c r="K138" s="86">
        <f t="shared" ref="K138:K201" si="35">IF(G138&lt;&gt;"",I138/I137-1,"")</f>
        <v>0</v>
      </c>
      <c r="L138" s="87">
        <f t="shared" ref="L138:L201" si="36">IF(G138&lt;&gt;"",H138/1000,"")</f>
        <v>12702.406000000001</v>
      </c>
      <c r="M138" s="67">
        <f t="shared" ref="M138:M201" si="37">1+M137</f>
        <v>130</v>
      </c>
      <c r="N138" s="68">
        <f t="shared" si="28"/>
        <v>1.855</v>
      </c>
      <c r="O138" s="92">
        <f t="shared" si="26"/>
        <v>17147.33867316899</v>
      </c>
      <c r="P138" s="61">
        <f t="shared" si="27"/>
        <v>31750.896890403452</v>
      </c>
      <c r="Q138" s="93">
        <f t="shared" si="29"/>
        <v>-8955.6443194239928</v>
      </c>
      <c r="R138" s="61">
        <f t="shared" si="30"/>
        <v>31808.313238728475</v>
      </c>
      <c r="S138" s="100">
        <f t="shared" si="31"/>
        <v>-57.416348325023137</v>
      </c>
      <c r="T138" s="91">
        <f t="shared" ref="T138:T201" si="38">IF(AND(X&gt;0,ABS(X)-a*SV&gt;MDT),ABS(X)-a*SV,IF(AND(X&lt;0,ABS(X)-a*SV&gt;MDT),-ABS(X)+a*SV,0))</f>
        <v>0</v>
      </c>
      <c r="U138" s="101"/>
      <c r="V138" s="61">
        <f t="shared" si="32"/>
        <v>22852.66891930448</v>
      </c>
      <c r="W138" s="61">
        <f t="shared" ref="W138:W201" si="39">$O$8*Price+$Q$8*(1+Int)^Mth</f>
        <v>23540.609137055839</v>
      </c>
    </row>
    <row r="139" spans="1:23" x14ac:dyDescent="0.25">
      <c r="A139" s="73">
        <f t="shared" si="34"/>
        <v>132</v>
      </c>
      <c r="C139" s="127">
        <v>46185.59375</v>
      </c>
      <c r="D139" s="128">
        <v>1.855</v>
      </c>
      <c r="E139" s="128">
        <v>1.855</v>
      </c>
      <c r="F139" s="128">
        <v>1.855</v>
      </c>
      <c r="G139" s="128">
        <v>1.855</v>
      </c>
      <c r="H139" s="124">
        <v>17677711</v>
      </c>
      <c r="I139" s="129">
        <f t="shared" si="33"/>
        <v>1.855</v>
      </c>
      <c r="K139" s="86">
        <f t="shared" si="35"/>
        <v>0</v>
      </c>
      <c r="L139" s="87">
        <f t="shared" si="36"/>
        <v>17677.710999999999</v>
      </c>
      <c r="M139" s="67">
        <f t="shared" si="37"/>
        <v>131</v>
      </c>
      <c r="N139" s="68">
        <f t="shared" si="28"/>
        <v>1.855</v>
      </c>
      <c r="O139" s="92">
        <f t="shared" ref="O139:O202" si="40">O138+Y/Price</f>
        <v>17147.33867316899</v>
      </c>
      <c r="P139" s="61">
        <f t="shared" si="27"/>
        <v>31750.896890403452</v>
      </c>
      <c r="Q139" s="93">
        <f t="shared" si="29"/>
        <v>-8974.0914804129534</v>
      </c>
      <c r="R139" s="61">
        <f t="shared" si="30"/>
        <v>31808.313238728475</v>
      </c>
      <c r="S139" s="100">
        <f t="shared" si="31"/>
        <v>-57.416348325023137</v>
      </c>
      <c r="T139" s="91">
        <f t="shared" si="38"/>
        <v>0</v>
      </c>
      <c r="U139" s="101"/>
      <c r="V139" s="61">
        <f t="shared" si="32"/>
        <v>22834.221758315522</v>
      </c>
      <c r="W139" s="61">
        <f t="shared" si="39"/>
        <v>23540.609137055839</v>
      </c>
    </row>
    <row r="140" spans="1:23" x14ac:dyDescent="0.25">
      <c r="A140" s="73">
        <f t="shared" si="34"/>
        <v>133</v>
      </c>
      <c r="C140" s="125">
        <v>46185.604166666657</v>
      </c>
      <c r="D140" s="126">
        <v>1.86</v>
      </c>
      <c r="E140" s="126">
        <v>1.87</v>
      </c>
      <c r="F140" s="126">
        <v>1.86</v>
      </c>
      <c r="G140" s="126">
        <v>1.86</v>
      </c>
      <c r="H140" s="124">
        <v>18894325</v>
      </c>
      <c r="I140" s="129">
        <f t="shared" si="33"/>
        <v>1.86</v>
      </c>
      <c r="K140" s="86">
        <f t="shared" si="35"/>
        <v>2.6954177897575704E-3</v>
      </c>
      <c r="L140" s="87">
        <f t="shared" si="36"/>
        <v>18894.325000000001</v>
      </c>
      <c r="M140" s="67">
        <f t="shared" si="37"/>
        <v>132</v>
      </c>
      <c r="N140" s="68">
        <f t="shared" si="28"/>
        <v>1.86</v>
      </c>
      <c r="O140" s="92">
        <f t="shared" si="40"/>
        <v>17147.33867316899</v>
      </c>
      <c r="P140" s="61">
        <f t="shared" si="27"/>
        <v>31750.896890403452</v>
      </c>
      <c r="Q140" s="93">
        <f t="shared" si="29"/>
        <v>-8992.5766395331939</v>
      </c>
      <c r="R140" s="61">
        <f t="shared" si="30"/>
        <v>31894.049932094324</v>
      </c>
      <c r="S140" s="100">
        <f t="shared" si="31"/>
        <v>-143.15304169087176</v>
      </c>
      <c r="T140" s="91">
        <f t="shared" si="38"/>
        <v>0</v>
      </c>
      <c r="U140" s="101"/>
      <c r="V140" s="61">
        <f t="shared" si="32"/>
        <v>22901.473292561132</v>
      </c>
      <c r="W140" s="61">
        <f t="shared" si="39"/>
        <v>23604.060913705587</v>
      </c>
    </row>
    <row r="141" spans="1:23" x14ac:dyDescent="0.25">
      <c r="A141" s="73">
        <f t="shared" si="34"/>
        <v>134</v>
      </c>
      <c r="C141" s="127">
        <v>46185.614583333343</v>
      </c>
      <c r="D141" s="128">
        <v>1.87</v>
      </c>
      <c r="E141" s="128">
        <v>1.87</v>
      </c>
      <c r="F141" s="128">
        <v>1.855</v>
      </c>
      <c r="G141" s="128">
        <v>1.86</v>
      </c>
      <c r="H141" s="124">
        <v>27905170</v>
      </c>
      <c r="I141" s="129">
        <f t="shared" si="33"/>
        <v>1.86</v>
      </c>
      <c r="K141" s="86">
        <f t="shared" si="35"/>
        <v>0</v>
      </c>
      <c r="L141" s="87">
        <f t="shared" si="36"/>
        <v>27905.17</v>
      </c>
      <c r="M141" s="67">
        <f t="shared" si="37"/>
        <v>133</v>
      </c>
      <c r="N141" s="68">
        <f t="shared" si="28"/>
        <v>1.86</v>
      </c>
      <c r="O141" s="92">
        <f t="shared" si="40"/>
        <v>17147.33867316899</v>
      </c>
      <c r="P141" s="61">
        <f t="shared" ref="P141:P204" si="41">P140+b*IF(Y&gt;0,Y,0)</f>
        <v>31750.896890403452</v>
      </c>
      <c r="Q141" s="93">
        <f t="shared" si="29"/>
        <v>-9011.0998750546441</v>
      </c>
      <c r="R141" s="61">
        <f t="shared" si="30"/>
        <v>31894.049932094324</v>
      </c>
      <c r="S141" s="100">
        <f t="shared" si="31"/>
        <v>-143.15304169087176</v>
      </c>
      <c r="T141" s="91">
        <f t="shared" si="38"/>
        <v>0</v>
      </c>
      <c r="U141" s="101"/>
      <c r="V141" s="61">
        <f t="shared" si="32"/>
        <v>22882.950057039678</v>
      </c>
      <c r="W141" s="61">
        <f t="shared" si="39"/>
        <v>23604.060913705587</v>
      </c>
    </row>
    <row r="142" spans="1:23" x14ac:dyDescent="0.25">
      <c r="A142" s="73">
        <f t="shared" si="34"/>
        <v>135</v>
      </c>
      <c r="C142" s="125">
        <v>46185.635416666657</v>
      </c>
      <c r="D142" s="126">
        <v>1.84</v>
      </c>
      <c r="E142" s="126">
        <v>1.86</v>
      </c>
      <c r="F142" s="126">
        <v>1.84</v>
      </c>
      <c r="G142" s="126">
        <v>1.845</v>
      </c>
      <c r="H142" s="124">
        <v>16607843</v>
      </c>
      <c r="I142" s="129">
        <f t="shared" si="33"/>
        <v>1.845</v>
      </c>
      <c r="K142" s="86">
        <f t="shared" si="35"/>
        <v>-8.0645161290323619E-3</v>
      </c>
      <c r="L142" s="87">
        <f t="shared" si="36"/>
        <v>16607.843000000001</v>
      </c>
      <c r="M142" s="67">
        <f t="shared" si="37"/>
        <v>134</v>
      </c>
      <c r="N142" s="68">
        <f t="shared" si="28"/>
        <v>1.845</v>
      </c>
      <c r="O142" s="92">
        <f t="shared" si="40"/>
        <v>17147.33867316899</v>
      </c>
      <c r="P142" s="61">
        <f t="shared" si="41"/>
        <v>31750.896890403452</v>
      </c>
      <c r="Q142" s="93">
        <f t="shared" si="29"/>
        <v>-9029.6612654084565</v>
      </c>
      <c r="R142" s="61">
        <f t="shared" si="30"/>
        <v>31636.839851996785</v>
      </c>
      <c r="S142" s="100">
        <f t="shared" si="31"/>
        <v>114.05703840666683</v>
      </c>
      <c r="T142" s="91">
        <f t="shared" si="38"/>
        <v>0</v>
      </c>
      <c r="U142" s="101"/>
      <c r="V142" s="61">
        <f t="shared" si="32"/>
        <v>22607.178586588328</v>
      </c>
      <c r="W142" s="61">
        <f t="shared" si="39"/>
        <v>23413.705583756346</v>
      </c>
    </row>
    <row r="143" spans="1:23" x14ac:dyDescent="0.25">
      <c r="A143" s="73">
        <f t="shared" si="34"/>
        <v>136</v>
      </c>
      <c r="C143" s="127">
        <v>46185.645833333343</v>
      </c>
      <c r="D143" s="128">
        <v>1.87</v>
      </c>
      <c r="E143" s="128">
        <v>1.87</v>
      </c>
      <c r="F143" s="128">
        <v>1.87</v>
      </c>
      <c r="G143" s="128">
        <v>1.87</v>
      </c>
      <c r="H143" s="124">
        <v>37744174</v>
      </c>
      <c r="I143" s="129">
        <f t="shared" si="33"/>
        <v>1.87</v>
      </c>
      <c r="K143" s="86">
        <f t="shared" si="35"/>
        <v>1.3550135501354976E-2</v>
      </c>
      <c r="L143" s="87">
        <f t="shared" si="36"/>
        <v>37744.173999999999</v>
      </c>
      <c r="M143" s="67">
        <f t="shared" si="37"/>
        <v>135</v>
      </c>
      <c r="N143" s="68">
        <f t="shared" si="28"/>
        <v>1.87</v>
      </c>
      <c r="O143" s="92">
        <f t="shared" si="40"/>
        <v>17147.33867316899</v>
      </c>
      <c r="P143" s="61">
        <f t="shared" si="41"/>
        <v>31750.896890403452</v>
      </c>
      <c r="Q143" s="93">
        <f t="shared" si="29"/>
        <v>-9048.2608891873388</v>
      </c>
      <c r="R143" s="61">
        <f t="shared" si="30"/>
        <v>32065.523318826014</v>
      </c>
      <c r="S143" s="100">
        <f t="shared" si="31"/>
        <v>-314.62642842256173</v>
      </c>
      <c r="T143" s="91">
        <f t="shared" si="38"/>
        <v>0</v>
      </c>
      <c r="U143" s="101"/>
      <c r="V143" s="61">
        <f t="shared" si="32"/>
        <v>23017.262429638675</v>
      </c>
      <c r="W143" s="61">
        <f t="shared" si="39"/>
        <v>23730.96446700508</v>
      </c>
    </row>
    <row r="144" spans="1:23" x14ac:dyDescent="0.25">
      <c r="A144" s="73">
        <f t="shared" si="34"/>
        <v>137</v>
      </c>
      <c r="C144" s="125">
        <v>46185.65625</v>
      </c>
      <c r="D144" s="126">
        <v>1.88</v>
      </c>
      <c r="E144" s="126">
        <v>1.89</v>
      </c>
      <c r="F144" s="126">
        <v>1.875</v>
      </c>
      <c r="G144" s="126">
        <v>1.875</v>
      </c>
      <c r="H144" s="124">
        <v>15623209</v>
      </c>
      <c r="I144" s="129">
        <f t="shared" si="33"/>
        <v>1.875</v>
      </c>
      <c r="K144" s="86">
        <f t="shared" si="35"/>
        <v>2.673796791443861E-3</v>
      </c>
      <c r="L144" s="87">
        <f t="shared" si="36"/>
        <v>15623.209000000001</v>
      </c>
      <c r="M144" s="67">
        <f t="shared" si="37"/>
        <v>136</v>
      </c>
      <c r="N144" s="68">
        <f t="shared" si="28"/>
        <v>1.875</v>
      </c>
      <c r="O144" s="92">
        <f t="shared" si="40"/>
        <v>17147.33867316899</v>
      </c>
      <c r="P144" s="61">
        <f t="shared" si="41"/>
        <v>31750.896890403452</v>
      </c>
      <c r="Q144" s="93">
        <f t="shared" si="29"/>
        <v>-9066.8988251458868</v>
      </c>
      <c r="R144" s="61">
        <f t="shared" si="30"/>
        <v>32151.260012191855</v>
      </c>
      <c r="S144" s="100">
        <f t="shared" si="31"/>
        <v>-400.36312178840308</v>
      </c>
      <c r="T144" s="91">
        <f t="shared" si="38"/>
        <v>0</v>
      </c>
      <c r="U144" s="101"/>
      <c r="V144" s="61">
        <f t="shared" si="32"/>
        <v>23084.361187045968</v>
      </c>
      <c r="W144" s="61">
        <f t="shared" si="39"/>
        <v>23794.416243654825</v>
      </c>
    </row>
    <row r="145" spans="1:23" x14ac:dyDescent="0.25">
      <c r="A145" s="73">
        <f t="shared" si="34"/>
        <v>138</v>
      </c>
      <c r="C145" s="127">
        <v>46188.395833333343</v>
      </c>
      <c r="D145" s="128">
        <v>1.9</v>
      </c>
      <c r="E145" s="128">
        <v>1.9</v>
      </c>
      <c r="F145" s="128">
        <v>1.9</v>
      </c>
      <c r="G145" s="128">
        <v>1.9</v>
      </c>
      <c r="H145" s="124">
        <v>20537308</v>
      </c>
      <c r="I145" s="129">
        <f t="shared" si="33"/>
        <v>1.9</v>
      </c>
      <c r="K145" s="86">
        <f t="shared" si="35"/>
        <v>1.3333333333333197E-2</v>
      </c>
      <c r="L145" s="87">
        <f t="shared" si="36"/>
        <v>20537.308000000001</v>
      </c>
      <c r="M145" s="67">
        <f t="shared" si="37"/>
        <v>137</v>
      </c>
      <c r="N145" s="68">
        <f t="shared" si="28"/>
        <v>1.9</v>
      </c>
      <c r="O145" s="92">
        <f t="shared" si="40"/>
        <v>17053.945136833619</v>
      </c>
      <c r="P145" s="61">
        <f t="shared" si="41"/>
        <v>31750.896890403452</v>
      </c>
      <c r="Q145" s="93">
        <f t="shared" si="29"/>
        <v>-8908.1274331637105</v>
      </c>
      <c r="R145" s="61">
        <f t="shared" si="30"/>
        <v>32579.94347902108</v>
      </c>
      <c r="S145" s="100">
        <f t="shared" si="31"/>
        <v>-829.046588617628</v>
      </c>
      <c r="T145" s="91">
        <f t="shared" si="38"/>
        <v>-177.44771903720641</v>
      </c>
      <c r="U145" s="101"/>
      <c r="V145" s="61">
        <f t="shared" si="32"/>
        <v>23494.368326820164</v>
      </c>
      <c r="W145" s="61">
        <f t="shared" si="39"/>
        <v>24111.675126903556</v>
      </c>
    </row>
    <row r="146" spans="1:23" x14ac:dyDescent="0.25">
      <c r="A146" s="73">
        <f t="shared" si="34"/>
        <v>139</v>
      </c>
      <c r="C146" s="125">
        <v>46188.40625</v>
      </c>
      <c r="D146" s="126">
        <v>1.91</v>
      </c>
      <c r="E146" s="126">
        <v>1.91</v>
      </c>
      <c r="F146" s="126">
        <v>1.91</v>
      </c>
      <c r="G146" s="126">
        <v>1.91</v>
      </c>
      <c r="H146" s="124">
        <v>12613864</v>
      </c>
      <c r="I146" s="129">
        <f t="shared" si="33"/>
        <v>1.91</v>
      </c>
      <c r="K146" s="86">
        <f t="shared" si="35"/>
        <v>5.2631578947368585E-3</v>
      </c>
      <c r="L146" s="87">
        <f t="shared" si="36"/>
        <v>12613.864</v>
      </c>
      <c r="M146" s="67">
        <f t="shared" si="37"/>
        <v>138</v>
      </c>
      <c r="N146" s="68">
        <f t="shared" si="28"/>
        <v>1.91</v>
      </c>
      <c r="O146" s="92">
        <f t="shared" si="40"/>
        <v>16964.585128078794</v>
      </c>
      <c r="P146" s="61">
        <f t="shared" si="41"/>
        <v>31750.896890403452</v>
      </c>
      <c r="Q146" s="93">
        <f t="shared" si="29"/>
        <v>-8755.7991004252053</v>
      </c>
      <c r="R146" s="61">
        <f t="shared" si="30"/>
        <v>32573.035211352213</v>
      </c>
      <c r="S146" s="100">
        <f t="shared" si="31"/>
        <v>-822.13832094876125</v>
      </c>
      <c r="T146" s="91">
        <f t="shared" si="38"/>
        <v>-170.67761672171696</v>
      </c>
      <c r="U146" s="101"/>
      <c r="V146" s="61">
        <f t="shared" si="32"/>
        <v>23646.558494205288</v>
      </c>
      <c r="W146" s="61">
        <f t="shared" si="39"/>
        <v>24238.578680203045</v>
      </c>
    </row>
    <row r="147" spans="1:23" x14ac:dyDescent="0.25">
      <c r="A147" s="73">
        <f t="shared" si="34"/>
        <v>140</v>
      </c>
      <c r="C147" s="127">
        <v>46188.427083333343</v>
      </c>
      <c r="D147" s="128">
        <v>1.9103000000000001</v>
      </c>
      <c r="E147" s="128">
        <v>1.9103000000000001</v>
      </c>
      <c r="F147" s="128">
        <v>1.91</v>
      </c>
      <c r="G147" s="128">
        <v>1.91</v>
      </c>
      <c r="H147" s="124">
        <v>23986458</v>
      </c>
      <c r="I147" s="129">
        <f t="shared" si="33"/>
        <v>1.91</v>
      </c>
      <c r="K147" s="86">
        <f t="shared" si="35"/>
        <v>0</v>
      </c>
      <c r="L147" s="87">
        <f t="shared" si="36"/>
        <v>23986.457999999999</v>
      </c>
      <c r="M147" s="67">
        <f t="shared" si="37"/>
        <v>139</v>
      </c>
      <c r="N147" s="68">
        <f t="shared" si="28"/>
        <v>1.91</v>
      </c>
      <c r="O147" s="92">
        <f t="shared" si="40"/>
        <v>16964.585128078794</v>
      </c>
      <c r="P147" s="61">
        <f t="shared" si="41"/>
        <v>31750.896890403452</v>
      </c>
      <c r="Q147" s="93">
        <f t="shared" si="29"/>
        <v>-8773.8346129837173</v>
      </c>
      <c r="R147" s="61">
        <f t="shared" si="30"/>
        <v>32402.357594630495</v>
      </c>
      <c r="S147" s="100">
        <f t="shared" si="31"/>
        <v>-651.46070422704361</v>
      </c>
      <c r="T147" s="91">
        <f t="shared" si="38"/>
        <v>0</v>
      </c>
      <c r="U147" s="101"/>
      <c r="V147" s="61">
        <f t="shared" si="32"/>
        <v>23628.522981646776</v>
      </c>
      <c r="W147" s="61">
        <f t="shared" si="39"/>
        <v>24238.578680203045</v>
      </c>
    </row>
    <row r="148" spans="1:23" x14ac:dyDescent="0.25">
      <c r="A148" s="73">
        <f t="shared" si="34"/>
        <v>141</v>
      </c>
      <c r="C148" s="125">
        <v>46188.447916666657</v>
      </c>
      <c r="D148" s="126">
        <v>1.91</v>
      </c>
      <c r="E148" s="126">
        <v>1.91</v>
      </c>
      <c r="F148" s="126">
        <v>1.91</v>
      </c>
      <c r="G148" s="126">
        <v>1.91</v>
      </c>
      <c r="H148" s="124">
        <v>34764390</v>
      </c>
      <c r="I148" s="129">
        <f t="shared" si="33"/>
        <v>1.91</v>
      </c>
      <c r="K148" s="86">
        <f t="shared" si="35"/>
        <v>0</v>
      </c>
      <c r="L148" s="87">
        <f t="shared" si="36"/>
        <v>34764.39</v>
      </c>
      <c r="M148" s="67">
        <f t="shared" si="37"/>
        <v>140</v>
      </c>
      <c r="N148" s="68">
        <f t="shared" si="28"/>
        <v>1.91</v>
      </c>
      <c r="O148" s="92">
        <f t="shared" si="40"/>
        <v>16964.585128078794</v>
      </c>
      <c r="P148" s="61">
        <f t="shared" si="41"/>
        <v>31750.896890403452</v>
      </c>
      <c r="Q148" s="93">
        <f t="shared" si="29"/>
        <v>-8791.9072757451431</v>
      </c>
      <c r="R148" s="61">
        <f t="shared" si="30"/>
        <v>32402.357594630495</v>
      </c>
      <c r="S148" s="100">
        <f t="shared" si="31"/>
        <v>-651.46070422704361</v>
      </c>
      <c r="T148" s="91">
        <f t="shared" si="38"/>
        <v>0</v>
      </c>
      <c r="U148" s="101"/>
      <c r="V148" s="61">
        <f t="shared" si="32"/>
        <v>23610.450318885352</v>
      </c>
      <c r="W148" s="61">
        <f t="shared" si="39"/>
        <v>24238.578680203045</v>
      </c>
    </row>
    <row r="149" spans="1:23" x14ac:dyDescent="0.25">
      <c r="A149" s="73">
        <f t="shared" si="34"/>
        <v>142</v>
      </c>
      <c r="C149" s="127">
        <v>46188.479166666657</v>
      </c>
      <c r="D149" s="128">
        <v>1.88</v>
      </c>
      <c r="E149" s="128">
        <v>1.895</v>
      </c>
      <c r="F149" s="128">
        <v>1.88</v>
      </c>
      <c r="G149" s="128">
        <v>1.895</v>
      </c>
      <c r="H149" s="124">
        <v>44801428</v>
      </c>
      <c r="I149" s="129">
        <f t="shared" si="33"/>
        <v>1.895</v>
      </c>
      <c r="K149" s="86">
        <f t="shared" si="35"/>
        <v>-7.8534031413611816E-3</v>
      </c>
      <c r="L149" s="87">
        <f t="shared" si="36"/>
        <v>44801.428</v>
      </c>
      <c r="M149" s="67">
        <f t="shared" si="37"/>
        <v>141</v>
      </c>
      <c r="N149" s="68">
        <f t="shared" si="28"/>
        <v>1.895</v>
      </c>
      <c r="O149" s="92">
        <f t="shared" si="40"/>
        <v>16964.585128078794</v>
      </c>
      <c r="P149" s="61">
        <f t="shared" si="41"/>
        <v>31750.896890403452</v>
      </c>
      <c r="Q149" s="93">
        <f t="shared" si="29"/>
        <v>-8810.0171652328172</v>
      </c>
      <c r="R149" s="61">
        <f t="shared" si="30"/>
        <v>32147.888817709314</v>
      </c>
      <c r="S149" s="100">
        <f t="shared" si="31"/>
        <v>-396.99192730586219</v>
      </c>
      <c r="T149" s="91">
        <f t="shared" si="38"/>
        <v>0</v>
      </c>
      <c r="U149" s="101"/>
      <c r="V149" s="61">
        <f t="shared" si="32"/>
        <v>23337.871652476497</v>
      </c>
      <c r="W149" s="61">
        <f t="shared" si="39"/>
        <v>24048.223350253811</v>
      </c>
    </row>
    <row r="150" spans="1:23" x14ac:dyDescent="0.25">
      <c r="A150" s="73">
        <f t="shared" si="34"/>
        <v>143</v>
      </c>
      <c r="C150" s="125">
        <v>46188.489583333343</v>
      </c>
      <c r="D150" s="126">
        <v>1.9</v>
      </c>
      <c r="E150" s="126">
        <v>1.9</v>
      </c>
      <c r="F150" s="126">
        <v>1.9</v>
      </c>
      <c r="G150" s="126">
        <v>1.9</v>
      </c>
      <c r="H150" s="124">
        <v>57429395</v>
      </c>
      <c r="I150" s="129">
        <f t="shared" si="33"/>
        <v>1.9</v>
      </c>
      <c r="K150" s="86">
        <f t="shared" si="35"/>
        <v>2.6385224274405594E-3</v>
      </c>
      <c r="L150" s="87">
        <f t="shared" si="36"/>
        <v>57429.394999999997</v>
      </c>
      <c r="M150" s="67">
        <f t="shared" si="37"/>
        <v>142</v>
      </c>
      <c r="N150" s="68">
        <f t="shared" si="28"/>
        <v>1.9</v>
      </c>
      <c r="O150" s="92">
        <f t="shared" si="40"/>
        <v>16964.585128078794</v>
      </c>
      <c r="P150" s="61">
        <f t="shared" si="41"/>
        <v>31750.896890403452</v>
      </c>
      <c r="Q150" s="93">
        <f t="shared" si="29"/>
        <v>-8828.1643581277003</v>
      </c>
      <c r="R150" s="61">
        <f t="shared" si="30"/>
        <v>32232.711743349708</v>
      </c>
      <c r="S150" s="100">
        <f t="shared" si="31"/>
        <v>-481.814852946256</v>
      </c>
      <c r="T150" s="91">
        <f t="shared" si="38"/>
        <v>0</v>
      </c>
      <c r="U150" s="101"/>
      <c r="V150" s="61">
        <f t="shared" si="32"/>
        <v>23404.547385222009</v>
      </c>
      <c r="W150" s="61">
        <f t="shared" si="39"/>
        <v>24111.675126903556</v>
      </c>
    </row>
    <row r="151" spans="1:23" x14ac:dyDescent="0.25">
      <c r="A151" s="73">
        <f t="shared" si="34"/>
        <v>144</v>
      </c>
      <c r="C151" s="127">
        <v>46188.5</v>
      </c>
      <c r="D151" s="128">
        <v>1.89</v>
      </c>
      <c r="E151" s="128">
        <v>1.8900999999999999</v>
      </c>
      <c r="F151" s="128">
        <v>1.89</v>
      </c>
      <c r="G151" s="128">
        <v>1.8900999999999999</v>
      </c>
      <c r="H151" s="124">
        <v>78110261</v>
      </c>
      <c r="I151" s="129">
        <f t="shared" si="33"/>
        <v>1.8900999999999999</v>
      </c>
      <c r="K151" s="86">
        <f t="shared" si="35"/>
        <v>-5.2105263157894433E-3</v>
      </c>
      <c r="L151" s="87">
        <f t="shared" si="36"/>
        <v>78110.260999999999</v>
      </c>
      <c r="M151" s="67">
        <f t="shared" si="37"/>
        <v>143</v>
      </c>
      <c r="N151" s="68">
        <f t="shared" si="28"/>
        <v>1.8900999999999999</v>
      </c>
      <c r="O151" s="92">
        <f t="shared" si="40"/>
        <v>16964.585128078794</v>
      </c>
      <c r="P151" s="61">
        <f t="shared" si="41"/>
        <v>31750.896890403452</v>
      </c>
      <c r="Q151" s="93">
        <f t="shared" si="29"/>
        <v>-8846.3489312687052</v>
      </c>
      <c r="R151" s="61">
        <f t="shared" si="30"/>
        <v>32064.762350581725</v>
      </c>
      <c r="S151" s="100">
        <f t="shared" si="31"/>
        <v>-313.86546017827277</v>
      </c>
      <c r="T151" s="91">
        <f t="shared" si="38"/>
        <v>0</v>
      </c>
      <c r="U151" s="101"/>
      <c r="V151" s="61">
        <f t="shared" si="32"/>
        <v>23218.413419313019</v>
      </c>
      <c r="W151" s="61">
        <f t="shared" si="39"/>
        <v>23986.040609137057</v>
      </c>
    </row>
    <row r="152" spans="1:23" x14ac:dyDescent="0.25">
      <c r="A152" s="73">
        <f t="shared" si="34"/>
        <v>145</v>
      </c>
      <c r="C152" s="125">
        <v>46188.510416666657</v>
      </c>
      <c r="D152" s="126">
        <v>1.9098999999999999</v>
      </c>
      <c r="E152" s="126">
        <v>1.9098999999999999</v>
      </c>
      <c r="F152" s="126">
        <v>1.9098999999999999</v>
      </c>
      <c r="G152" s="126">
        <v>1.9098999999999999</v>
      </c>
      <c r="H152" s="124">
        <v>114760994</v>
      </c>
      <c r="I152" s="129">
        <f t="shared" si="33"/>
        <v>1.9098999999999999</v>
      </c>
      <c r="K152" s="86">
        <f t="shared" si="35"/>
        <v>1.047563620972447E-2</v>
      </c>
      <c r="L152" s="87">
        <f t="shared" si="36"/>
        <v>114760.99400000001</v>
      </c>
      <c r="M152" s="67">
        <f t="shared" si="37"/>
        <v>144</v>
      </c>
      <c r="N152" s="68">
        <f t="shared" si="28"/>
        <v>1.9098999999999999</v>
      </c>
      <c r="O152" s="92">
        <f t="shared" si="40"/>
        <v>16964.585128078794</v>
      </c>
      <c r="P152" s="61">
        <f t="shared" si="41"/>
        <v>31750.896890403452</v>
      </c>
      <c r="Q152" s="93">
        <f t="shared" si="29"/>
        <v>-8864.5709616530166</v>
      </c>
      <c r="R152" s="61">
        <f t="shared" si="30"/>
        <v>32400.661136117687</v>
      </c>
      <c r="S152" s="100">
        <f t="shared" si="31"/>
        <v>-649.76424571423559</v>
      </c>
      <c r="T152" s="91">
        <f t="shared" si="38"/>
        <v>0</v>
      </c>
      <c r="U152" s="101"/>
      <c r="V152" s="61">
        <f t="shared" si="32"/>
        <v>23536.090174464669</v>
      </c>
      <c r="W152" s="61">
        <f t="shared" si="39"/>
        <v>24237.309644670051</v>
      </c>
    </row>
    <row r="153" spans="1:23" x14ac:dyDescent="0.25">
      <c r="A153" s="73">
        <f t="shared" si="34"/>
        <v>146</v>
      </c>
      <c r="C153" s="127">
        <v>46188.520833333343</v>
      </c>
      <c r="D153" s="128">
        <v>1.885</v>
      </c>
      <c r="E153" s="128">
        <v>1.885</v>
      </c>
      <c r="F153" s="128">
        <v>1.885</v>
      </c>
      <c r="G153" s="128">
        <v>1.885</v>
      </c>
      <c r="H153" s="124">
        <v>65740933</v>
      </c>
      <c r="I153" s="129">
        <f t="shared" si="33"/>
        <v>1.885</v>
      </c>
      <c r="K153" s="86">
        <f t="shared" si="35"/>
        <v>-1.3037331797476237E-2</v>
      </c>
      <c r="L153" s="87">
        <f t="shared" si="36"/>
        <v>65740.933000000005</v>
      </c>
      <c r="M153" s="67">
        <f t="shared" si="37"/>
        <v>145</v>
      </c>
      <c r="N153" s="68">
        <f t="shared" si="28"/>
        <v>1.885</v>
      </c>
      <c r="O153" s="92">
        <f t="shared" si="40"/>
        <v>16964.585128078794</v>
      </c>
      <c r="P153" s="61">
        <f t="shared" si="41"/>
        <v>31750.896890403452</v>
      </c>
      <c r="Q153" s="93">
        <f t="shared" si="29"/>
        <v>-8882.8305264364244</v>
      </c>
      <c r="R153" s="61">
        <f t="shared" si="30"/>
        <v>31978.242966428526</v>
      </c>
      <c r="S153" s="100">
        <f t="shared" si="31"/>
        <v>-227.34607602507458</v>
      </c>
      <c r="T153" s="91">
        <f t="shared" si="38"/>
        <v>0</v>
      </c>
      <c r="U153" s="101"/>
      <c r="V153" s="61">
        <f t="shared" si="32"/>
        <v>23095.412439992102</v>
      </c>
      <c r="W153" s="61">
        <f t="shared" si="39"/>
        <v>23921.319796954318</v>
      </c>
    </row>
    <row r="154" spans="1:23" x14ac:dyDescent="0.25">
      <c r="A154" s="73">
        <f t="shared" si="34"/>
        <v>147</v>
      </c>
      <c r="C154" s="125">
        <v>46188.53125</v>
      </c>
      <c r="D154" s="126">
        <v>1.885</v>
      </c>
      <c r="E154" s="126">
        <v>1.885</v>
      </c>
      <c r="F154" s="126">
        <v>1.885</v>
      </c>
      <c r="G154" s="126">
        <v>1.885</v>
      </c>
      <c r="H154" s="124">
        <v>37279260</v>
      </c>
      <c r="I154" s="129">
        <f t="shared" si="33"/>
        <v>1.885</v>
      </c>
      <c r="K154" s="86">
        <f t="shared" si="35"/>
        <v>0</v>
      </c>
      <c r="L154" s="87">
        <f t="shared" si="36"/>
        <v>37279.26</v>
      </c>
      <c r="M154" s="67">
        <f t="shared" si="37"/>
        <v>146</v>
      </c>
      <c r="N154" s="68">
        <f t="shared" si="28"/>
        <v>1.885</v>
      </c>
      <c r="O154" s="92">
        <f t="shared" si="40"/>
        <v>16964.585128078794</v>
      </c>
      <c r="P154" s="61">
        <f t="shared" si="41"/>
        <v>31750.896890403452</v>
      </c>
      <c r="Q154" s="93">
        <f t="shared" si="29"/>
        <v>-8901.1277029336452</v>
      </c>
      <c r="R154" s="61">
        <f t="shared" si="30"/>
        <v>31978.242966428526</v>
      </c>
      <c r="S154" s="100">
        <f t="shared" si="31"/>
        <v>-227.34607602507458</v>
      </c>
      <c r="T154" s="91">
        <f t="shared" si="38"/>
        <v>0</v>
      </c>
      <c r="U154" s="101"/>
      <c r="V154" s="61">
        <f t="shared" si="32"/>
        <v>23077.115263494881</v>
      </c>
      <c r="W154" s="61">
        <f t="shared" si="39"/>
        <v>23921.319796954318</v>
      </c>
    </row>
    <row r="155" spans="1:23" x14ac:dyDescent="0.25">
      <c r="A155" s="73">
        <f t="shared" si="34"/>
        <v>148</v>
      </c>
      <c r="C155" s="127">
        <v>46188.5625</v>
      </c>
      <c r="D155" s="128">
        <v>1.8754999999999999</v>
      </c>
      <c r="E155" s="128">
        <v>1.8754999999999999</v>
      </c>
      <c r="F155" s="128">
        <v>1.8754999999999999</v>
      </c>
      <c r="G155" s="128">
        <v>1.8754999999999999</v>
      </c>
      <c r="H155" s="124">
        <v>81836926</v>
      </c>
      <c r="I155" s="129">
        <f t="shared" si="33"/>
        <v>1.8754999999999999</v>
      </c>
      <c r="K155" s="86">
        <f t="shared" si="35"/>
        <v>-5.0397877984085238E-3</v>
      </c>
      <c r="L155" s="87">
        <f t="shared" si="36"/>
        <v>81836.926000000007</v>
      </c>
      <c r="M155" s="67">
        <f t="shared" si="37"/>
        <v>147</v>
      </c>
      <c r="N155" s="68">
        <f t="shared" si="28"/>
        <v>1.8754999999999999</v>
      </c>
      <c r="O155" s="92">
        <f t="shared" si="40"/>
        <v>16964.585128078794</v>
      </c>
      <c r="P155" s="61">
        <f t="shared" si="41"/>
        <v>31750.896890403452</v>
      </c>
      <c r="Q155" s="93">
        <f t="shared" si="29"/>
        <v>-8919.46256861865</v>
      </c>
      <c r="R155" s="61">
        <f t="shared" si="30"/>
        <v>31817.079407711775</v>
      </c>
      <c r="S155" s="100">
        <f t="shared" si="31"/>
        <v>-66.18251730832344</v>
      </c>
      <c r="T155" s="91">
        <f t="shared" si="38"/>
        <v>0</v>
      </c>
      <c r="U155" s="101"/>
      <c r="V155" s="61">
        <f t="shared" si="32"/>
        <v>22897.616839093127</v>
      </c>
      <c r="W155" s="61">
        <f t="shared" si="39"/>
        <v>23800.761421319799</v>
      </c>
    </row>
    <row r="156" spans="1:23" x14ac:dyDescent="0.25">
      <c r="A156" s="73">
        <f t="shared" si="34"/>
        <v>149</v>
      </c>
      <c r="C156" s="125">
        <v>46188.572916666657</v>
      </c>
      <c r="D156" s="126">
        <v>1.885</v>
      </c>
      <c r="E156" s="126">
        <v>1.885</v>
      </c>
      <c r="F156" s="126">
        <v>1.885</v>
      </c>
      <c r="G156" s="126">
        <v>1.885</v>
      </c>
      <c r="H156" s="124">
        <v>34854312</v>
      </c>
      <c r="I156" s="129">
        <f t="shared" si="33"/>
        <v>1.885</v>
      </c>
      <c r="K156" s="86">
        <f t="shared" si="35"/>
        <v>5.0653159157558747E-3</v>
      </c>
      <c r="L156" s="87">
        <f t="shared" si="36"/>
        <v>34854.311999999998</v>
      </c>
      <c r="M156" s="67">
        <f t="shared" si="37"/>
        <v>148</v>
      </c>
      <c r="N156" s="68">
        <f t="shared" si="28"/>
        <v>1.885</v>
      </c>
      <c r="O156" s="92">
        <f t="shared" si="40"/>
        <v>16964.585128078794</v>
      </c>
      <c r="P156" s="61">
        <f t="shared" si="41"/>
        <v>31750.896890403452</v>
      </c>
      <c r="Q156" s="93">
        <f t="shared" si="29"/>
        <v>-8937.8352011249954</v>
      </c>
      <c r="R156" s="61">
        <f t="shared" si="30"/>
        <v>31978.242966428526</v>
      </c>
      <c r="S156" s="100">
        <f t="shared" si="31"/>
        <v>-227.34607602507458</v>
      </c>
      <c r="T156" s="91">
        <f t="shared" si="38"/>
        <v>0</v>
      </c>
      <c r="U156" s="101"/>
      <c r="V156" s="61">
        <f t="shared" si="32"/>
        <v>23040.407765303531</v>
      </c>
      <c r="W156" s="61">
        <f t="shared" si="39"/>
        <v>23921.319796954318</v>
      </c>
    </row>
    <row r="157" spans="1:23" x14ac:dyDescent="0.25">
      <c r="A157" s="73">
        <f t="shared" si="34"/>
        <v>150</v>
      </c>
      <c r="C157" s="127">
        <v>46188.59375</v>
      </c>
      <c r="D157" s="128">
        <v>1.885</v>
      </c>
      <c r="E157" s="128">
        <v>1.885</v>
      </c>
      <c r="F157" s="128">
        <v>1.885</v>
      </c>
      <c r="G157" s="128">
        <v>1.885</v>
      </c>
      <c r="H157" s="124">
        <v>124515512</v>
      </c>
      <c r="I157" s="129">
        <f t="shared" si="33"/>
        <v>1.885</v>
      </c>
      <c r="K157" s="86">
        <f t="shared" si="35"/>
        <v>0</v>
      </c>
      <c r="L157" s="87">
        <f t="shared" si="36"/>
        <v>124515.512</v>
      </c>
      <c r="M157" s="67">
        <f t="shared" si="37"/>
        <v>149</v>
      </c>
      <c r="N157" s="68">
        <f t="shared" si="28"/>
        <v>1.885</v>
      </c>
      <c r="O157" s="92">
        <f t="shared" si="40"/>
        <v>16964.585128078794</v>
      </c>
      <c r="P157" s="61">
        <f t="shared" si="41"/>
        <v>31750.896890403452</v>
      </c>
      <c r="Q157" s="93">
        <f t="shared" si="29"/>
        <v>-8956.2456782461504</v>
      </c>
      <c r="R157" s="61">
        <f t="shared" si="30"/>
        <v>31978.242966428526</v>
      </c>
      <c r="S157" s="100">
        <f t="shared" si="31"/>
        <v>-227.34607602507458</v>
      </c>
      <c r="T157" s="91">
        <f t="shared" si="38"/>
        <v>0</v>
      </c>
      <c r="U157" s="101"/>
      <c r="V157" s="61">
        <f t="shared" si="32"/>
        <v>23021.997288182378</v>
      </c>
      <c r="W157" s="61">
        <f t="shared" si="39"/>
        <v>23921.319796954318</v>
      </c>
    </row>
    <row r="158" spans="1:23" x14ac:dyDescent="0.25">
      <c r="A158" s="73">
        <f t="shared" si="34"/>
        <v>151</v>
      </c>
      <c r="C158" s="125">
        <v>46188.604166666657</v>
      </c>
      <c r="D158" s="126">
        <v>1.87</v>
      </c>
      <c r="E158" s="126">
        <v>1.871</v>
      </c>
      <c r="F158" s="126">
        <v>1.86</v>
      </c>
      <c r="G158" s="126">
        <v>1.87</v>
      </c>
      <c r="H158" s="124">
        <v>33725311</v>
      </c>
      <c r="I158" s="129">
        <f t="shared" si="33"/>
        <v>1.87</v>
      </c>
      <c r="K158" s="86">
        <f t="shared" si="35"/>
        <v>-7.9575596816975347E-3</v>
      </c>
      <c r="L158" s="87">
        <f t="shared" si="36"/>
        <v>33725.311000000002</v>
      </c>
      <c r="M158" s="67">
        <f t="shared" si="37"/>
        <v>150</v>
      </c>
      <c r="N158" s="68">
        <f t="shared" si="28"/>
        <v>1.87</v>
      </c>
      <c r="O158" s="92">
        <f t="shared" si="40"/>
        <v>16964.585128078794</v>
      </c>
      <c r="P158" s="61">
        <f t="shared" si="41"/>
        <v>31750.896890403452</v>
      </c>
      <c r="Q158" s="93">
        <f t="shared" si="29"/>
        <v>-8974.6940779358247</v>
      </c>
      <c r="R158" s="61">
        <f t="shared" si="30"/>
        <v>31723.774189507345</v>
      </c>
      <c r="S158" s="100">
        <f t="shared" si="31"/>
        <v>27.122700896106835</v>
      </c>
      <c r="T158" s="91">
        <f t="shared" si="38"/>
        <v>0</v>
      </c>
      <c r="U158" s="101"/>
      <c r="V158" s="61">
        <f t="shared" si="32"/>
        <v>22749.080111571522</v>
      </c>
      <c r="W158" s="61">
        <f t="shared" si="39"/>
        <v>23730.96446700508</v>
      </c>
    </row>
    <row r="159" spans="1:23" x14ac:dyDescent="0.25">
      <c r="A159" s="73">
        <f t="shared" si="34"/>
        <v>152</v>
      </c>
      <c r="C159" s="127">
        <v>46188.645833333343</v>
      </c>
      <c r="D159" s="128">
        <v>1.86</v>
      </c>
      <c r="E159" s="128">
        <v>1.87</v>
      </c>
      <c r="F159" s="128">
        <v>1.86</v>
      </c>
      <c r="G159" s="128">
        <v>1.86</v>
      </c>
      <c r="H159" s="124">
        <v>77527321</v>
      </c>
      <c r="I159" s="129">
        <f t="shared" si="33"/>
        <v>1.86</v>
      </c>
      <c r="K159" s="86">
        <f t="shared" si="35"/>
        <v>-5.3475935828877219E-3</v>
      </c>
      <c r="L159" s="87">
        <f t="shared" si="36"/>
        <v>77527.320999999996</v>
      </c>
      <c r="M159" s="67">
        <f t="shared" si="37"/>
        <v>151</v>
      </c>
      <c r="N159" s="68">
        <f t="shared" si="28"/>
        <v>1.86</v>
      </c>
      <c r="O159" s="92">
        <f t="shared" si="40"/>
        <v>16964.585128078794</v>
      </c>
      <c r="P159" s="61">
        <f t="shared" si="41"/>
        <v>31750.896890403452</v>
      </c>
      <c r="Q159" s="93">
        <f t="shared" si="29"/>
        <v>-8993.1804783082989</v>
      </c>
      <c r="R159" s="61">
        <f t="shared" si="30"/>
        <v>31554.128338226557</v>
      </c>
      <c r="S159" s="100">
        <f t="shared" si="31"/>
        <v>196.76855217689445</v>
      </c>
      <c r="T159" s="91">
        <f t="shared" si="38"/>
        <v>0</v>
      </c>
      <c r="U159" s="101"/>
      <c r="V159" s="61">
        <f t="shared" si="32"/>
        <v>22560.947859918258</v>
      </c>
      <c r="W159" s="61">
        <f t="shared" si="39"/>
        <v>23604.060913705587</v>
      </c>
    </row>
    <row r="160" spans="1:23" x14ac:dyDescent="0.25">
      <c r="A160" s="73">
        <f t="shared" si="34"/>
        <v>153</v>
      </c>
      <c r="C160" s="125">
        <v>46188.65625</v>
      </c>
      <c r="D160" s="126">
        <v>1.85</v>
      </c>
      <c r="E160" s="126">
        <v>1.85</v>
      </c>
      <c r="F160" s="126">
        <v>1.84</v>
      </c>
      <c r="G160" s="126">
        <v>1.84</v>
      </c>
      <c r="H160" s="124">
        <v>25455165</v>
      </c>
      <c r="I160" s="129">
        <f t="shared" si="33"/>
        <v>1.84</v>
      </c>
      <c r="K160" s="86">
        <f t="shared" si="35"/>
        <v>-1.0752688172043001E-2</v>
      </c>
      <c r="L160" s="87">
        <f t="shared" si="36"/>
        <v>25455.165000000001</v>
      </c>
      <c r="M160" s="67">
        <f t="shared" si="37"/>
        <v>152</v>
      </c>
      <c r="N160" s="68">
        <f t="shared" si="28"/>
        <v>1.84</v>
      </c>
      <c r="O160" s="92">
        <f t="shared" si="40"/>
        <v>16964.585128078794</v>
      </c>
      <c r="P160" s="61">
        <f t="shared" si="41"/>
        <v>31750.896890403452</v>
      </c>
      <c r="Q160" s="93">
        <f t="shared" si="29"/>
        <v>-9011.7049576387599</v>
      </c>
      <c r="R160" s="61">
        <f t="shared" si="30"/>
        <v>31214.836635664982</v>
      </c>
      <c r="S160" s="100">
        <f t="shared" si="31"/>
        <v>536.06025473846967</v>
      </c>
      <c r="T160" s="91">
        <f t="shared" si="38"/>
        <v>0</v>
      </c>
      <c r="U160" s="101"/>
      <c r="V160" s="61">
        <f t="shared" si="32"/>
        <v>22203.13167802622</v>
      </c>
      <c r="W160" s="61">
        <f t="shared" si="39"/>
        <v>23350.253807106601</v>
      </c>
    </row>
    <row r="161" spans="1:23" x14ac:dyDescent="0.25">
      <c r="A161" s="73">
        <f t="shared" si="34"/>
        <v>154</v>
      </c>
      <c r="C161" s="127">
        <v>46189.395833333343</v>
      </c>
      <c r="D161" s="128">
        <v>1.86</v>
      </c>
      <c r="E161" s="128">
        <v>1.86</v>
      </c>
      <c r="F161" s="128">
        <v>1.8101</v>
      </c>
      <c r="G161" s="128">
        <v>1.8101</v>
      </c>
      <c r="H161" s="124">
        <v>36002905</v>
      </c>
      <c r="I161" s="129">
        <f t="shared" si="33"/>
        <v>1.8101</v>
      </c>
      <c r="K161" s="86">
        <f t="shared" si="35"/>
        <v>-1.6249999999999987E-2</v>
      </c>
      <c r="L161" s="87">
        <f t="shared" si="36"/>
        <v>36002.904999999999</v>
      </c>
      <c r="M161" s="67">
        <f t="shared" si="37"/>
        <v>153</v>
      </c>
      <c r="N161" s="68">
        <f t="shared" ref="N161:N224" si="42">I161</f>
        <v>1.8101</v>
      </c>
      <c r="O161" s="92">
        <f t="shared" si="40"/>
        <v>17201.671167116041</v>
      </c>
      <c r="P161" s="61">
        <f t="shared" si="41"/>
        <v>32072.758969849441</v>
      </c>
      <c r="Q161" s="93">
        <f t="shared" ref="Q161:Q224" si="43">Q160*(1+Int)-T161</f>
        <v>-9459.4170336249463</v>
      </c>
      <c r="R161" s="61">
        <f t="shared" ref="R161:R224" si="44">Price*O160</f>
        <v>30707.595540335424</v>
      </c>
      <c r="S161" s="100">
        <f t="shared" ref="S161:S224" si="45">P160-SV</f>
        <v>1043.3013500680281</v>
      </c>
      <c r="T161" s="91">
        <f t="shared" si="38"/>
        <v>429.14943926131957</v>
      </c>
      <c r="U161" s="101"/>
      <c r="V161" s="61">
        <f t="shared" si="32"/>
        <v>21677.327945971803</v>
      </c>
      <c r="W161" s="61">
        <f t="shared" si="39"/>
        <v>22970.81218274112</v>
      </c>
    </row>
    <row r="162" spans="1:23" x14ac:dyDescent="0.25">
      <c r="A162" s="73">
        <f t="shared" si="34"/>
        <v>155</v>
      </c>
      <c r="C162" s="125">
        <v>46189.427083333343</v>
      </c>
      <c r="D162" s="126">
        <v>1.83</v>
      </c>
      <c r="E162" s="126">
        <v>1.83</v>
      </c>
      <c r="F162" s="126">
        <v>1.83</v>
      </c>
      <c r="G162" s="126">
        <v>1.83</v>
      </c>
      <c r="H162" s="124">
        <v>20690652</v>
      </c>
      <c r="I162" s="129">
        <f t="shared" si="33"/>
        <v>1.83</v>
      </c>
      <c r="K162" s="86">
        <f t="shared" si="35"/>
        <v>1.099386774211375E-2</v>
      </c>
      <c r="L162" s="87">
        <f t="shared" si="36"/>
        <v>20690.651999999998</v>
      </c>
      <c r="M162" s="67">
        <f t="shared" si="37"/>
        <v>154</v>
      </c>
      <c r="N162" s="68">
        <f t="shared" si="42"/>
        <v>1.83</v>
      </c>
      <c r="O162" s="92">
        <f t="shared" si="40"/>
        <v>17201.671167116041</v>
      </c>
      <c r="P162" s="61">
        <f t="shared" si="41"/>
        <v>32072.758969849441</v>
      </c>
      <c r="Q162" s="93">
        <f t="shared" si="43"/>
        <v>-9478.9018839223754</v>
      </c>
      <c r="R162" s="61">
        <f t="shared" si="44"/>
        <v>31479.058235822355</v>
      </c>
      <c r="S162" s="100">
        <f t="shared" si="45"/>
        <v>593.70073402708658</v>
      </c>
      <c r="T162" s="91">
        <f t="shared" si="38"/>
        <v>0</v>
      </c>
      <c r="U162" s="101"/>
      <c r="V162" s="61">
        <f t="shared" si="32"/>
        <v>22000.156351899979</v>
      </c>
      <c r="W162" s="61">
        <f t="shared" si="39"/>
        <v>23223.350253807108</v>
      </c>
    </row>
    <row r="163" spans="1:23" x14ac:dyDescent="0.25">
      <c r="A163" s="73">
        <f t="shared" si="34"/>
        <v>156</v>
      </c>
      <c r="C163" s="127">
        <v>46189.447916666657</v>
      </c>
      <c r="D163" s="128">
        <v>1.83</v>
      </c>
      <c r="E163" s="128">
        <v>1.83</v>
      </c>
      <c r="F163" s="128">
        <v>1.83</v>
      </c>
      <c r="G163" s="128">
        <v>1.83</v>
      </c>
      <c r="H163" s="124">
        <v>27683032</v>
      </c>
      <c r="I163" s="129">
        <f t="shared" si="33"/>
        <v>1.83</v>
      </c>
      <c r="K163" s="86">
        <f t="shared" si="35"/>
        <v>0</v>
      </c>
      <c r="L163" s="87">
        <f t="shared" si="36"/>
        <v>27683.031999999999</v>
      </c>
      <c r="M163" s="67">
        <f t="shared" si="37"/>
        <v>155</v>
      </c>
      <c r="N163" s="68">
        <f t="shared" si="42"/>
        <v>1.83</v>
      </c>
      <c r="O163" s="92">
        <f t="shared" si="40"/>
        <v>17201.671167116041</v>
      </c>
      <c r="P163" s="61">
        <f t="shared" si="41"/>
        <v>32072.758969849441</v>
      </c>
      <c r="Q163" s="93">
        <f t="shared" si="43"/>
        <v>-9498.4268698211599</v>
      </c>
      <c r="R163" s="61">
        <f t="shared" si="44"/>
        <v>31479.058235822355</v>
      </c>
      <c r="S163" s="100">
        <f t="shared" si="45"/>
        <v>593.70073402708658</v>
      </c>
      <c r="T163" s="91">
        <f t="shared" si="38"/>
        <v>0</v>
      </c>
      <c r="U163" s="101"/>
      <c r="V163" s="61">
        <f t="shared" si="32"/>
        <v>21980.631366001195</v>
      </c>
      <c r="W163" s="61">
        <f t="shared" si="39"/>
        <v>23223.350253807108</v>
      </c>
    </row>
    <row r="164" spans="1:23" x14ac:dyDescent="0.25">
      <c r="A164" s="73">
        <f t="shared" si="34"/>
        <v>157</v>
      </c>
      <c r="C164" s="125">
        <v>46189.458333333343</v>
      </c>
      <c r="D164" s="126">
        <v>1.827</v>
      </c>
      <c r="E164" s="126">
        <v>1.83</v>
      </c>
      <c r="F164" s="126">
        <v>1.827</v>
      </c>
      <c r="G164" s="126">
        <v>1.83</v>
      </c>
      <c r="H164" s="124">
        <v>15457965</v>
      </c>
      <c r="I164" s="129">
        <f t="shared" si="33"/>
        <v>1.83</v>
      </c>
      <c r="K164" s="86">
        <f t="shared" si="35"/>
        <v>0</v>
      </c>
      <c r="L164" s="87">
        <f t="shared" si="36"/>
        <v>15457.965</v>
      </c>
      <c r="M164" s="67">
        <f t="shared" si="37"/>
        <v>156</v>
      </c>
      <c r="N164" s="68">
        <f t="shared" si="42"/>
        <v>1.83</v>
      </c>
      <c r="O164" s="92">
        <f t="shared" si="40"/>
        <v>17201.671167116041</v>
      </c>
      <c r="P164" s="61">
        <f t="shared" si="41"/>
        <v>32072.758969849441</v>
      </c>
      <c r="Q164" s="93">
        <f t="shared" si="43"/>
        <v>-9517.9920739940662</v>
      </c>
      <c r="R164" s="61">
        <f t="shared" si="44"/>
        <v>31479.058235822355</v>
      </c>
      <c r="S164" s="100">
        <f t="shared" si="45"/>
        <v>593.70073402708658</v>
      </c>
      <c r="T164" s="91">
        <f t="shared" si="38"/>
        <v>0</v>
      </c>
      <c r="U164" s="101"/>
      <c r="V164" s="61">
        <f t="shared" si="32"/>
        <v>21961.06616182829</v>
      </c>
      <c r="W164" s="61">
        <f t="shared" si="39"/>
        <v>23223.350253807108</v>
      </c>
    </row>
    <row r="165" spans="1:23" s="146" customFormat="1" x14ac:dyDescent="0.25">
      <c r="A165" s="130">
        <f t="shared" si="34"/>
        <v>158</v>
      </c>
      <c r="B165" s="131"/>
      <c r="C165" s="132">
        <v>46189.479166666657</v>
      </c>
      <c r="D165" s="133">
        <v>1.82</v>
      </c>
      <c r="E165" s="133">
        <v>1.83</v>
      </c>
      <c r="F165" s="133">
        <v>1.81</v>
      </c>
      <c r="G165" s="133">
        <v>1.83</v>
      </c>
      <c r="H165" s="134">
        <v>19615369</v>
      </c>
      <c r="I165" s="135">
        <f t="shared" si="33"/>
        <v>1.83</v>
      </c>
      <c r="J165" s="131"/>
      <c r="K165" s="136">
        <f t="shared" si="35"/>
        <v>0</v>
      </c>
      <c r="L165" s="137">
        <f t="shared" si="36"/>
        <v>19615.368999999999</v>
      </c>
      <c r="M165" s="138">
        <f t="shared" si="37"/>
        <v>157</v>
      </c>
      <c r="N165" s="139">
        <f t="shared" si="42"/>
        <v>1.83</v>
      </c>
      <c r="O165" s="140">
        <f t="shared" si="40"/>
        <v>17201.671167116041</v>
      </c>
      <c r="P165" s="141">
        <f t="shared" si="41"/>
        <v>32072.758969849441</v>
      </c>
      <c r="Q165" s="142">
        <f t="shared" si="43"/>
        <v>-9537.5975792841546</v>
      </c>
      <c r="R165" s="141">
        <f t="shared" si="44"/>
        <v>31479.058235822355</v>
      </c>
      <c r="S165" s="143">
        <f t="shared" si="45"/>
        <v>593.70073402708658</v>
      </c>
      <c r="T165" s="144">
        <f t="shared" si="38"/>
        <v>0</v>
      </c>
      <c r="U165" s="145"/>
      <c r="V165" s="141">
        <f t="shared" si="32"/>
        <v>21941.460656538198</v>
      </c>
      <c r="W165" s="141">
        <f t="shared" si="39"/>
        <v>23223.350253807108</v>
      </c>
    </row>
    <row r="166" spans="1:23" x14ac:dyDescent="0.25">
      <c r="A166" s="73">
        <f t="shared" si="34"/>
        <v>159</v>
      </c>
      <c r="C166" s="125">
        <v>46189.5</v>
      </c>
      <c r="D166" s="126">
        <v>1.829</v>
      </c>
      <c r="E166" s="126">
        <v>1.84</v>
      </c>
      <c r="F166" s="126">
        <v>1.829</v>
      </c>
      <c r="G166" s="126">
        <v>1.84</v>
      </c>
      <c r="H166" s="124">
        <v>14100187</v>
      </c>
      <c r="I166" s="129">
        <f t="shared" si="33"/>
        <v>1.84</v>
      </c>
      <c r="K166" s="86">
        <f t="shared" si="35"/>
        <v>5.464480874316946E-3</v>
      </c>
      <c r="L166" s="87">
        <f t="shared" si="36"/>
        <v>14100.187</v>
      </c>
      <c r="M166" s="67">
        <f t="shared" si="37"/>
        <v>158</v>
      </c>
      <c r="N166" s="68">
        <f t="shared" si="42"/>
        <v>1.84</v>
      </c>
      <c r="O166" s="92">
        <f t="shared" si="40"/>
        <v>17201.671167116041</v>
      </c>
      <c r="P166" s="61">
        <f t="shared" si="41"/>
        <v>32072.758969849441</v>
      </c>
      <c r="Q166" s="93">
        <f t="shared" si="43"/>
        <v>-9557.2434687051282</v>
      </c>
      <c r="R166" s="61">
        <f t="shared" si="44"/>
        <v>31651.074947493518</v>
      </c>
      <c r="S166" s="100">
        <f t="shared" si="45"/>
        <v>421.68402235592293</v>
      </c>
      <c r="T166" s="91">
        <f t="shared" si="38"/>
        <v>0</v>
      </c>
      <c r="U166" s="101"/>
      <c r="V166" s="61">
        <f t="shared" si="32"/>
        <v>22093.83147878839</v>
      </c>
      <c r="W166" s="61">
        <f t="shared" si="39"/>
        <v>23350.253807106601</v>
      </c>
    </row>
    <row r="167" spans="1:23" x14ac:dyDescent="0.25">
      <c r="A167" s="73">
        <f t="shared" si="34"/>
        <v>160</v>
      </c>
      <c r="C167" s="127">
        <v>46189.520833333343</v>
      </c>
      <c r="D167" s="128">
        <v>1.845</v>
      </c>
      <c r="E167" s="128">
        <v>1.845</v>
      </c>
      <c r="F167" s="128">
        <v>1.845</v>
      </c>
      <c r="G167" s="128">
        <v>1.845</v>
      </c>
      <c r="H167" s="124">
        <v>36132031</v>
      </c>
      <c r="I167" s="129">
        <f t="shared" si="33"/>
        <v>1.845</v>
      </c>
      <c r="K167" s="86">
        <f t="shared" si="35"/>
        <v>2.7173913043476716E-3</v>
      </c>
      <c r="L167" s="87">
        <f t="shared" si="36"/>
        <v>36132.031000000003</v>
      </c>
      <c r="M167" s="67">
        <f t="shared" si="37"/>
        <v>159</v>
      </c>
      <c r="N167" s="68">
        <f t="shared" si="42"/>
        <v>1.845</v>
      </c>
      <c r="O167" s="92">
        <f t="shared" si="40"/>
        <v>17201.671167116041</v>
      </c>
      <c r="P167" s="61">
        <f t="shared" si="41"/>
        <v>32072.758969849441</v>
      </c>
      <c r="Q167" s="93">
        <f t="shared" si="43"/>
        <v>-9576.9298254416844</v>
      </c>
      <c r="R167" s="61">
        <f t="shared" si="44"/>
        <v>31737.083303329095</v>
      </c>
      <c r="S167" s="100">
        <f t="shared" si="45"/>
        <v>335.67566652034657</v>
      </c>
      <c r="T167" s="91">
        <f t="shared" si="38"/>
        <v>0</v>
      </c>
      <c r="U167" s="101"/>
      <c r="V167" s="61">
        <f t="shared" si="32"/>
        <v>22160.153477887412</v>
      </c>
      <c r="W167" s="61">
        <f t="shared" si="39"/>
        <v>23413.705583756346</v>
      </c>
    </row>
    <row r="168" spans="1:23" x14ac:dyDescent="0.25">
      <c r="A168" s="73">
        <f t="shared" si="34"/>
        <v>161</v>
      </c>
      <c r="C168" s="125">
        <v>46189.572916666657</v>
      </c>
      <c r="D168" s="126">
        <v>1.845</v>
      </c>
      <c r="E168" s="126">
        <v>1.845</v>
      </c>
      <c r="F168" s="126">
        <v>1.845</v>
      </c>
      <c r="G168" s="126">
        <v>1.845</v>
      </c>
      <c r="H168" s="124">
        <v>13665719</v>
      </c>
      <c r="I168" s="129">
        <f t="shared" si="33"/>
        <v>1.845</v>
      </c>
      <c r="K168" s="86">
        <f t="shared" si="35"/>
        <v>0</v>
      </c>
      <c r="L168" s="87">
        <f t="shared" si="36"/>
        <v>13665.718999999999</v>
      </c>
      <c r="M168" s="67">
        <f t="shared" si="37"/>
        <v>160</v>
      </c>
      <c r="N168" s="68">
        <f t="shared" si="42"/>
        <v>1.845</v>
      </c>
      <c r="O168" s="92">
        <f t="shared" si="40"/>
        <v>17201.671167116041</v>
      </c>
      <c r="P168" s="61">
        <f t="shared" si="41"/>
        <v>32072.758969849441</v>
      </c>
      <c r="Q168" s="93">
        <f t="shared" si="43"/>
        <v>-9596.6567328498677</v>
      </c>
      <c r="R168" s="61">
        <f t="shared" si="44"/>
        <v>31737.083303329095</v>
      </c>
      <c r="S168" s="100">
        <f t="shared" si="45"/>
        <v>335.67566652034657</v>
      </c>
      <c r="T168" s="91">
        <f t="shared" si="38"/>
        <v>0</v>
      </c>
      <c r="U168" s="101"/>
      <c r="V168" s="61">
        <f t="shared" si="32"/>
        <v>22140.426570479227</v>
      </c>
      <c r="W168" s="61">
        <f t="shared" si="39"/>
        <v>23413.705583756346</v>
      </c>
    </row>
    <row r="169" spans="1:23" x14ac:dyDescent="0.25">
      <c r="A169" s="73">
        <f t="shared" si="34"/>
        <v>162</v>
      </c>
      <c r="C169" s="127">
        <v>46189.614583333343</v>
      </c>
      <c r="D169" s="128">
        <v>1.8411</v>
      </c>
      <c r="E169" s="128">
        <v>1.8411</v>
      </c>
      <c r="F169" s="128">
        <v>1.8411</v>
      </c>
      <c r="G169" s="128">
        <v>1.8411</v>
      </c>
      <c r="H169" s="124">
        <v>26142693</v>
      </c>
      <c r="I169" s="129">
        <f t="shared" si="33"/>
        <v>1.8411</v>
      </c>
      <c r="K169" s="86">
        <f t="shared" si="35"/>
        <v>-2.113821138211347E-3</v>
      </c>
      <c r="L169" s="87">
        <f t="shared" si="36"/>
        <v>26142.692999999999</v>
      </c>
      <c r="M169" s="67">
        <f t="shared" si="37"/>
        <v>161</v>
      </c>
      <c r="N169" s="68">
        <f t="shared" si="42"/>
        <v>1.8411</v>
      </c>
      <c r="O169" s="92">
        <f t="shared" si="40"/>
        <v>17201.671167116041</v>
      </c>
      <c r="P169" s="61">
        <f t="shared" si="41"/>
        <v>32072.758969849441</v>
      </c>
      <c r="Q169" s="93">
        <f t="shared" si="43"/>
        <v>-9616.4242744574221</v>
      </c>
      <c r="R169" s="61">
        <f t="shared" si="44"/>
        <v>31669.996785777341</v>
      </c>
      <c r="S169" s="100">
        <f t="shared" si="45"/>
        <v>402.76218407210035</v>
      </c>
      <c r="T169" s="91">
        <f t="shared" si="38"/>
        <v>0</v>
      </c>
      <c r="U169" s="101"/>
      <c r="V169" s="61">
        <f t="shared" si="32"/>
        <v>22053.572511319919</v>
      </c>
      <c r="W169" s="61">
        <f t="shared" si="39"/>
        <v>23364.213197969544</v>
      </c>
    </row>
    <row r="170" spans="1:23" x14ac:dyDescent="0.25">
      <c r="A170" s="73">
        <f t="shared" si="34"/>
        <v>163</v>
      </c>
      <c r="C170" s="125">
        <v>46189.635416666657</v>
      </c>
      <c r="D170" s="126">
        <v>1.855</v>
      </c>
      <c r="E170" s="126">
        <v>1.87</v>
      </c>
      <c r="F170" s="126">
        <v>1.855</v>
      </c>
      <c r="G170" s="126">
        <v>1.87</v>
      </c>
      <c r="H170" s="124">
        <v>16468151</v>
      </c>
      <c r="I170" s="129">
        <f t="shared" si="33"/>
        <v>1.87</v>
      </c>
      <c r="K170" s="86">
        <f t="shared" si="35"/>
        <v>1.5697137580794163E-2</v>
      </c>
      <c r="L170" s="87">
        <f t="shared" si="36"/>
        <v>16468.151000000002</v>
      </c>
      <c r="M170" s="67">
        <f t="shared" si="37"/>
        <v>162</v>
      </c>
      <c r="N170" s="68">
        <f t="shared" si="42"/>
        <v>1.87</v>
      </c>
      <c r="O170" s="92">
        <f t="shared" si="40"/>
        <v>17201.671167116041</v>
      </c>
      <c r="P170" s="61">
        <f t="shared" si="41"/>
        <v>32072.758969849441</v>
      </c>
      <c r="Q170" s="93">
        <f t="shared" si="43"/>
        <v>-9636.2325339641466</v>
      </c>
      <c r="R170" s="61">
        <f t="shared" si="44"/>
        <v>32167.125082506998</v>
      </c>
      <c r="S170" s="100">
        <f t="shared" si="45"/>
        <v>-94.366112657557096</v>
      </c>
      <c r="T170" s="91">
        <f t="shared" si="38"/>
        <v>0</v>
      </c>
      <c r="U170" s="101"/>
      <c r="V170" s="61">
        <f t="shared" si="32"/>
        <v>22530.892548542852</v>
      </c>
      <c r="W170" s="61">
        <f t="shared" si="39"/>
        <v>23730.96446700508</v>
      </c>
    </row>
    <row r="171" spans="1:23" x14ac:dyDescent="0.25">
      <c r="A171" s="73">
        <f t="shared" si="34"/>
        <v>164</v>
      </c>
      <c r="C171" s="127">
        <v>46189.645833333343</v>
      </c>
      <c r="D171" s="128">
        <v>1.9</v>
      </c>
      <c r="E171" s="128">
        <v>1.9</v>
      </c>
      <c r="F171" s="128">
        <v>1.9</v>
      </c>
      <c r="G171" s="128">
        <v>1.9</v>
      </c>
      <c r="H171" s="124">
        <v>31674261</v>
      </c>
      <c r="I171" s="129">
        <f t="shared" si="33"/>
        <v>1.9</v>
      </c>
      <c r="K171" s="86">
        <f t="shared" si="35"/>
        <v>1.6042780748662944E-2</v>
      </c>
      <c r="L171" s="87">
        <f t="shared" si="36"/>
        <v>31674.260999999999</v>
      </c>
      <c r="M171" s="67">
        <f t="shared" si="37"/>
        <v>163</v>
      </c>
      <c r="N171" s="68">
        <f t="shared" si="42"/>
        <v>1.9</v>
      </c>
      <c r="O171" s="92">
        <f t="shared" si="40"/>
        <v>17201.671167116041</v>
      </c>
      <c r="P171" s="61">
        <f t="shared" si="41"/>
        <v>32072.758969849441</v>
      </c>
      <c r="Q171" s="93">
        <f t="shared" si="43"/>
        <v>-9656.0815952422454</v>
      </c>
      <c r="R171" s="61">
        <f t="shared" si="44"/>
        <v>32683.175217520475</v>
      </c>
      <c r="S171" s="100">
        <f t="shared" si="45"/>
        <v>-610.41624767103349</v>
      </c>
      <c r="T171" s="91">
        <f t="shared" si="38"/>
        <v>0</v>
      </c>
      <c r="U171" s="101"/>
      <c r="V171" s="61">
        <f t="shared" si="32"/>
        <v>23027.093622278229</v>
      </c>
      <c r="W171" s="61">
        <f t="shared" si="39"/>
        <v>24111.675126903556</v>
      </c>
    </row>
    <row r="172" spans="1:23" x14ac:dyDescent="0.25">
      <c r="A172" s="73">
        <f t="shared" si="34"/>
        <v>165</v>
      </c>
      <c r="C172" s="125">
        <v>46189.65625</v>
      </c>
      <c r="D172" s="126">
        <v>1.875</v>
      </c>
      <c r="E172" s="126">
        <v>1.875</v>
      </c>
      <c r="F172" s="126">
        <v>1.875</v>
      </c>
      <c r="G172" s="126">
        <v>1.875</v>
      </c>
      <c r="H172" s="124">
        <v>16365388</v>
      </c>
      <c r="I172" s="129">
        <f t="shared" si="33"/>
        <v>1.875</v>
      </c>
      <c r="K172" s="86">
        <f t="shared" si="35"/>
        <v>-1.3157894736842035E-2</v>
      </c>
      <c r="L172" s="87">
        <f t="shared" si="36"/>
        <v>16365.388000000001</v>
      </c>
      <c r="M172" s="67">
        <f t="shared" si="37"/>
        <v>164</v>
      </c>
      <c r="N172" s="68">
        <f t="shared" si="42"/>
        <v>1.875</v>
      </c>
      <c r="O172" s="92">
        <f t="shared" si="40"/>
        <v>17201.671167116041</v>
      </c>
      <c r="P172" s="61">
        <f t="shared" si="41"/>
        <v>32072.758969849441</v>
      </c>
      <c r="Q172" s="93">
        <f t="shared" si="43"/>
        <v>-9675.971542336687</v>
      </c>
      <c r="R172" s="61">
        <f t="shared" si="44"/>
        <v>32253.133438342578</v>
      </c>
      <c r="S172" s="100">
        <f t="shared" si="45"/>
        <v>-180.3744684931371</v>
      </c>
      <c r="T172" s="91">
        <f t="shared" si="38"/>
        <v>0</v>
      </c>
      <c r="U172" s="101"/>
      <c r="V172" s="61">
        <f t="shared" si="32"/>
        <v>22577.161896005891</v>
      </c>
      <c r="W172" s="61">
        <f t="shared" si="39"/>
        <v>23794.416243654825</v>
      </c>
    </row>
    <row r="173" spans="1:23" x14ac:dyDescent="0.25">
      <c r="A173" s="73">
        <f t="shared" si="34"/>
        <v>166</v>
      </c>
      <c r="C173" s="127">
        <v>46190.40625</v>
      </c>
      <c r="D173" s="128">
        <v>1.82</v>
      </c>
      <c r="E173" s="128">
        <v>1.85</v>
      </c>
      <c r="F173" s="128">
        <v>1.82</v>
      </c>
      <c r="G173" s="128">
        <v>1.85</v>
      </c>
      <c r="H173" s="124">
        <v>34826245</v>
      </c>
      <c r="I173" s="129">
        <f t="shared" si="33"/>
        <v>1.85</v>
      </c>
      <c r="K173" s="86">
        <f t="shared" si="35"/>
        <v>-1.3333333333333308E-2</v>
      </c>
      <c r="L173" s="87">
        <f t="shared" si="36"/>
        <v>34826.245000000003</v>
      </c>
      <c r="M173" s="67">
        <f t="shared" si="37"/>
        <v>165</v>
      </c>
      <c r="N173" s="68">
        <f t="shared" si="42"/>
        <v>1.85</v>
      </c>
      <c r="O173" s="92">
        <f t="shared" si="40"/>
        <v>17201.671167116041</v>
      </c>
      <c r="P173" s="61">
        <f t="shared" si="41"/>
        <v>32072.758969849441</v>
      </c>
      <c r="Q173" s="93">
        <f t="shared" si="43"/>
        <v>-9695.9024594655584</v>
      </c>
      <c r="R173" s="61">
        <f t="shared" si="44"/>
        <v>31823.091659164678</v>
      </c>
      <c r="S173" s="100">
        <f t="shared" si="45"/>
        <v>249.66731068476292</v>
      </c>
      <c r="T173" s="91">
        <f t="shared" si="38"/>
        <v>0</v>
      </c>
      <c r="U173" s="101"/>
      <c r="V173" s="61">
        <f t="shared" si="32"/>
        <v>22127.189199699118</v>
      </c>
      <c r="W173" s="61">
        <f t="shared" si="39"/>
        <v>23477.157360406094</v>
      </c>
    </row>
    <row r="174" spans="1:23" x14ac:dyDescent="0.25">
      <c r="A174" s="73">
        <f t="shared" si="34"/>
        <v>167</v>
      </c>
      <c r="C174" s="125">
        <v>46190.4375</v>
      </c>
      <c r="D174" s="126">
        <v>1.855</v>
      </c>
      <c r="E174" s="126">
        <v>1.855</v>
      </c>
      <c r="F174" s="126">
        <v>1.855</v>
      </c>
      <c r="G174" s="126">
        <v>1.855</v>
      </c>
      <c r="H174" s="124">
        <v>31459966</v>
      </c>
      <c r="I174" s="129">
        <f t="shared" si="33"/>
        <v>1.855</v>
      </c>
      <c r="K174" s="86">
        <f t="shared" si="35"/>
        <v>2.7027027027026751E-3</v>
      </c>
      <c r="L174" s="87">
        <f t="shared" si="36"/>
        <v>31459.966</v>
      </c>
      <c r="M174" s="67">
        <f t="shared" si="37"/>
        <v>166</v>
      </c>
      <c r="N174" s="68">
        <f t="shared" si="42"/>
        <v>1.855</v>
      </c>
      <c r="O174" s="92">
        <f t="shared" si="40"/>
        <v>17201.671167116041</v>
      </c>
      <c r="P174" s="61">
        <f t="shared" si="41"/>
        <v>32072.758969849441</v>
      </c>
      <c r="Q174" s="93">
        <f t="shared" si="43"/>
        <v>-9715.8744310204238</v>
      </c>
      <c r="R174" s="61">
        <f t="shared" si="44"/>
        <v>31909.100015000255</v>
      </c>
      <c r="S174" s="100">
        <f t="shared" si="45"/>
        <v>163.65895484918656</v>
      </c>
      <c r="T174" s="91">
        <f t="shared" si="38"/>
        <v>0</v>
      </c>
      <c r="U174" s="101"/>
      <c r="V174" s="61">
        <f t="shared" si="32"/>
        <v>22193.225583979831</v>
      </c>
      <c r="W174" s="61">
        <f t="shared" si="39"/>
        <v>23540.609137055839</v>
      </c>
    </row>
    <row r="175" spans="1:23" x14ac:dyDescent="0.25">
      <c r="A175" s="73">
        <f t="shared" si="34"/>
        <v>168</v>
      </c>
      <c r="C175" s="127">
        <v>46190.46875</v>
      </c>
      <c r="D175" s="128">
        <v>1.865</v>
      </c>
      <c r="E175" s="128">
        <v>1.865</v>
      </c>
      <c r="F175" s="128">
        <v>1.865</v>
      </c>
      <c r="G175" s="128">
        <v>1.865</v>
      </c>
      <c r="H175" s="124">
        <v>29494017</v>
      </c>
      <c r="I175" s="129">
        <f t="shared" si="33"/>
        <v>1.865</v>
      </c>
      <c r="K175" s="86">
        <f t="shared" si="35"/>
        <v>5.3908355795149188E-3</v>
      </c>
      <c r="L175" s="87">
        <f t="shared" si="36"/>
        <v>29494.017</v>
      </c>
      <c r="M175" s="67">
        <f t="shared" si="37"/>
        <v>167</v>
      </c>
      <c r="N175" s="68">
        <f t="shared" si="42"/>
        <v>1.865</v>
      </c>
      <c r="O175" s="92">
        <f t="shared" si="40"/>
        <v>17201.671167116041</v>
      </c>
      <c r="P175" s="61">
        <f t="shared" si="41"/>
        <v>32072.758969849441</v>
      </c>
      <c r="Q175" s="93">
        <f t="shared" si="43"/>
        <v>-9735.8875415666771</v>
      </c>
      <c r="R175" s="61">
        <f t="shared" si="44"/>
        <v>32081.116726671415</v>
      </c>
      <c r="S175" s="100">
        <f t="shared" si="45"/>
        <v>-8.357756821973453</v>
      </c>
      <c r="T175" s="91">
        <f t="shared" si="38"/>
        <v>0</v>
      </c>
      <c r="U175" s="101"/>
      <c r="V175" s="61">
        <f t="shared" si="32"/>
        <v>22345.229185104738</v>
      </c>
      <c r="W175" s="61">
        <f t="shared" si="39"/>
        <v>23667.512690355332</v>
      </c>
    </row>
    <row r="176" spans="1:23" x14ac:dyDescent="0.25">
      <c r="A176" s="73">
        <f t="shared" si="34"/>
        <v>169</v>
      </c>
      <c r="C176" s="125">
        <v>46190.5</v>
      </c>
      <c r="D176" s="126">
        <v>1.8774</v>
      </c>
      <c r="E176" s="126">
        <v>1.8774</v>
      </c>
      <c r="F176" s="126">
        <v>1.87</v>
      </c>
      <c r="G176" s="126">
        <v>1.87</v>
      </c>
      <c r="H176" s="124">
        <v>16268913</v>
      </c>
      <c r="I176" s="129">
        <f t="shared" si="33"/>
        <v>1.87</v>
      </c>
      <c r="K176" s="86">
        <f t="shared" si="35"/>
        <v>2.6809651474530849E-3</v>
      </c>
      <c r="L176" s="87">
        <f t="shared" si="36"/>
        <v>16268.913</v>
      </c>
      <c r="M176" s="67">
        <f t="shared" si="37"/>
        <v>168</v>
      </c>
      <c r="N176" s="68">
        <f t="shared" si="42"/>
        <v>1.87</v>
      </c>
      <c r="O176" s="92">
        <f t="shared" si="40"/>
        <v>17201.671167116041</v>
      </c>
      <c r="P176" s="61">
        <f t="shared" si="41"/>
        <v>32072.758969849441</v>
      </c>
      <c r="Q176" s="93">
        <f t="shared" si="43"/>
        <v>-9755.941875843906</v>
      </c>
      <c r="R176" s="61">
        <f t="shared" si="44"/>
        <v>32167.125082506998</v>
      </c>
      <c r="S176" s="100">
        <f t="shared" si="45"/>
        <v>-94.366112657557096</v>
      </c>
      <c r="T176" s="91">
        <f t="shared" si="38"/>
        <v>0</v>
      </c>
      <c r="U176" s="101"/>
      <c r="V176" s="61">
        <f t="shared" si="32"/>
        <v>22411.183206663092</v>
      </c>
      <c r="W176" s="61">
        <f t="shared" si="39"/>
        <v>23730.96446700508</v>
      </c>
    </row>
    <row r="177" spans="1:23" x14ac:dyDescent="0.25">
      <c r="A177" s="73">
        <f t="shared" si="34"/>
        <v>170</v>
      </c>
      <c r="C177" s="127">
        <v>46190.625</v>
      </c>
      <c r="D177" s="128">
        <v>1.855</v>
      </c>
      <c r="E177" s="128">
        <v>1.86</v>
      </c>
      <c r="F177" s="128">
        <v>1.855</v>
      </c>
      <c r="G177" s="128">
        <v>1.86</v>
      </c>
      <c r="H177" s="124">
        <v>26231428</v>
      </c>
      <c r="I177" s="129">
        <f t="shared" si="33"/>
        <v>1.86</v>
      </c>
      <c r="K177" s="86">
        <f t="shared" si="35"/>
        <v>-5.3475935828877219E-3</v>
      </c>
      <c r="L177" s="87">
        <f t="shared" si="36"/>
        <v>26231.428</v>
      </c>
      <c r="M177" s="67">
        <f t="shared" si="37"/>
        <v>169</v>
      </c>
      <c r="N177" s="68">
        <f t="shared" si="42"/>
        <v>1.86</v>
      </c>
      <c r="O177" s="92">
        <f t="shared" si="40"/>
        <v>17201.671167116041</v>
      </c>
      <c r="P177" s="61">
        <f t="shared" si="41"/>
        <v>32072.758969849441</v>
      </c>
      <c r="Q177" s="93">
        <f t="shared" si="43"/>
        <v>-9776.0375187662466</v>
      </c>
      <c r="R177" s="61">
        <f t="shared" si="44"/>
        <v>31995.108370835838</v>
      </c>
      <c r="S177" s="100">
        <f t="shared" si="45"/>
        <v>77.650599013602914</v>
      </c>
      <c r="T177" s="91">
        <f t="shared" si="38"/>
        <v>0</v>
      </c>
      <c r="U177" s="101"/>
      <c r="V177" s="61">
        <f t="shared" si="32"/>
        <v>22219.070852069592</v>
      </c>
      <c r="W177" s="61">
        <f t="shared" si="39"/>
        <v>23604.060913705587</v>
      </c>
    </row>
    <row r="178" spans="1:23" x14ac:dyDescent="0.25">
      <c r="A178" s="73">
        <f t="shared" si="34"/>
        <v>171</v>
      </c>
      <c r="C178" s="125">
        <v>46190.635416666657</v>
      </c>
      <c r="D178" s="126">
        <v>1.8692</v>
      </c>
      <c r="E178" s="126">
        <v>1.8692</v>
      </c>
      <c r="F178" s="126">
        <v>1.8692</v>
      </c>
      <c r="G178" s="126">
        <v>1.8692</v>
      </c>
      <c r="H178" s="124">
        <v>14029373</v>
      </c>
      <c r="I178" s="129">
        <f t="shared" si="33"/>
        <v>1.8692</v>
      </c>
      <c r="K178" s="86">
        <f t="shared" si="35"/>
        <v>4.9462365591397273E-3</v>
      </c>
      <c r="L178" s="87">
        <f t="shared" si="36"/>
        <v>14029.373</v>
      </c>
      <c r="M178" s="67">
        <f t="shared" si="37"/>
        <v>170</v>
      </c>
      <c r="N178" s="68">
        <f t="shared" si="42"/>
        <v>1.8692</v>
      </c>
      <c r="O178" s="92">
        <f t="shared" si="40"/>
        <v>17201.671167116041</v>
      </c>
      <c r="P178" s="61">
        <f t="shared" si="41"/>
        <v>32072.758969849441</v>
      </c>
      <c r="Q178" s="93">
        <f t="shared" si="43"/>
        <v>-9796.1745554227455</v>
      </c>
      <c r="R178" s="61">
        <f t="shared" si="44"/>
        <v>32153.363745573304</v>
      </c>
      <c r="S178" s="100">
        <f t="shared" si="45"/>
        <v>-80.604775723862986</v>
      </c>
      <c r="T178" s="91">
        <f t="shared" si="38"/>
        <v>0</v>
      </c>
      <c r="U178" s="101"/>
      <c r="V178" s="61">
        <f t="shared" si="32"/>
        <v>22357.189190150559</v>
      </c>
      <c r="W178" s="61">
        <f t="shared" si="39"/>
        <v>23720.81218274112</v>
      </c>
    </row>
    <row r="179" spans="1:23" x14ac:dyDescent="0.25">
      <c r="A179" s="73">
        <f t="shared" si="34"/>
        <v>172</v>
      </c>
      <c r="C179" s="127">
        <v>46190.645833333343</v>
      </c>
      <c r="D179" s="128">
        <v>1.86</v>
      </c>
      <c r="E179" s="128">
        <v>1.86</v>
      </c>
      <c r="F179" s="128">
        <v>1.85</v>
      </c>
      <c r="G179" s="128">
        <v>1.85</v>
      </c>
      <c r="H179" s="124">
        <v>23211875</v>
      </c>
      <c r="I179" s="129">
        <f t="shared" si="33"/>
        <v>1.85</v>
      </c>
      <c r="K179" s="86">
        <f t="shared" si="35"/>
        <v>-1.0271774020971458E-2</v>
      </c>
      <c r="L179" s="87">
        <f t="shared" si="36"/>
        <v>23211.875</v>
      </c>
      <c r="M179" s="67">
        <f t="shared" si="37"/>
        <v>171</v>
      </c>
      <c r="N179" s="68">
        <f t="shared" si="42"/>
        <v>1.85</v>
      </c>
      <c r="O179" s="92">
        <f t="shared" si="40"/>
        <v>17201.671167116041</v>
      </c>
      <c r="P179" s="61">
        <f t="shared" si="41"/>
        <v>32072.758969849441</v>
      </c>
      <c r="Q179" s="93">
        <f t="shared" si="43"/>
        <v>-9816.3530710777159</v>
      </c>
      <c r="R179" s="61">
        <f t="shared" si="44"/>
        <v>31823.091659164678</v>
      </c>
      <c r="S179" s="100">
        <f t="shared" si="45"/>
        <v>249.66731068476292</v>
      </c>
      <c r="T179" s="91">
        <f t="shared" si="38"/>
        <v>0</v>
      </c>
      <c r="U179" s="101"/>
      <c r="V179" s="61">
        <f t="shared" si="32"/>
        <v>22006.738588086962</v>
      </c>
      <c r="W179" s="61">
        <f t="shared" si="39"/>
        <v>23477.157360406094</v>
      </c>
    </row>
    <row r="180" spans="1:23" x14ac:dyDescent="0.25">
      <c r="A180" s="73">
        <f t="shared" si="34"/>
        <v>173</v>
      </c>
      <c r="C180" s="125">
        <v>46190.65625</v>
      </c>
      <c r="D180" s="126">
        <v>1.845</v>
      </c>
      <c r="E180" s="126">
        <v>1.86</v>
      </c>
      <c r="F180" s="126">
        <v>1.845</v>
      </c>
      <c r="G180" s="126">
        <v>1.86</v>
      </c>
      <c r="H180" s="124">
        <v>13786954</v>
      </c>
      <c r="I180" s="129">
        <f t="shared" si="33"/>
        <v>1.86</v>
      </c>
      <c r="K180" s="86">
        <f t="shared" si="35"/>
        <v>5.4054054054053502E-3</v>
      </c>
      <c r="L180" s="87">
        <f t="shared" si="36"/>
        <v>13786.954</v>
      </c>
      <c r="M180" s="67">
        <f t="shared" si="37"/>
        <v>172</v>
      </c>
      <c r="N180" s="68">
        <f t="shared" si="42"/>
        <v>1.86</v>
      </c>
      <c r="O180" s="92">
        <f t="shared" si="40"/>
        <v>17201.671167116041</v>
      </c>
      <c r="P180" s="61">
        <f t="shared" si="41"/>
        <v>32072.758969849441</v>
      </c>
      <c r="Q180" s="93">
        <f t="shared" si="43"/>
        <v>-9836.5731511711037</v>
      </c>
      <c r="R180" s="61">
        <f t="shared" si="44"/>
        <v>31995.108370835838</v>
      </c>
      <c r="S180" s="100">
        <f t="shared" si="45"/>
        <v>77.650599013602914</v>
      </c>
      <c r="T180" s="91">
        <f t="shared" si="38"/>
        <v>0</v>
      </c>
      <c r="U180" s="101"/>
      <c r="V180" s="61">
        <f t="shared" si="32"/>
        <v>22158.535219664736</v>
      </c>
      <c r="W180" s="61">
        <f t="shared" si="39"/>
        <v>23604.060913705587</v>
      </c>
    </row>
    <row r="181" spans="1:23" x14ac:dyDescent="0.25">
      <c r="A181" s="73">
        <f t="shared" si="34"/>
        <v>174</v>
      </c>
      <c r="C181" s="127">
        <v>46191.270833333343</v>
      </c>
      <c r="D181" s="128">
        <v>2.0499999999999998</v>
      </c>
      <c r="E181" s="128">
        <v>2.4</v>
      </c>
      <c r="F181" s="128">
        <v>1.64</v>
      </c>
      <c r="G181" s="128">
        <v>1.74</v>
      </c>
      <c r="H181" s="124">
        <v>18592990</v>
      </c>
      <c r="I181" s="129">
        <f t="shared" si="33"/>
        <v>1.74</v>
      </c>
      <c r="K181" s="86">
        <f t="shared" si="35"/>
        <v>-6.4516129032258118E-2</v>
      </c>
      <c r="L181" s="87">
        <f t="shared" si="36"/>
        <v>18592.990000000002</v>
      </c>
      <c r="M181" s="67">
        <f t="shared" si="37"/>
        <v>173</v>
      </c>
      <c r="N181" s="68">
        <f t="shared" si="42"/>
        <v>1.74</v>
      </c>
      <c r="O181" s="92">
        <f t="shared" si="40"/>
        <v>18088.586674272301</v>
      </c>
      <c r="P181" s="61">
        <f t="shared" si="41"/>
        <v>33230.18370668836</v>
      </c>
      <c r="Q181" s="93">
        <f t="shared" si="43"/>
        <v>-11400.067863770739</v>
      </c>
      <c r="R181" s="61">
        <f t="shared" si="44"/>
        <v>29930.907830781911</v>
      </c>
      <c r="S181" s="100">
        <f t="shared" si="45"/>
        <v>2141.8511390675303</v>
      </c>
      <c r="T181" s="91">
        <f t="shared" si="38"/>
        <v>1543.232982451892</v>
      </c>
      <c r="U181" s="101"/>
      <c r="V181" s="61">
        <f t="shared" si="32"/>
        <v>20074.072949463065</v>
      </c>
      <c r="W181" s="61">
        <f t="shared" si="39"/>
        <v>22081.218274111678</v>
      </c>
    </row>
    <row r="182" spans="1:23" x14ac:dyDescent="0.25">
      <c r="A182" s="73">
        <f t="shared" si="34"/>
        <v>175</v>
      </c>
      <c r="C182" s="125">
        <v>46191.28125</v>
      </c>
      <c r="D182" s="126">
        <v>1.75</v>
      </c>
      <c r="E182" s="126">
        <v>2.33</v>
      </c>
      <c r="F182" s="126">
        <v>1.71</v>
      </c>
      <c r="G182" s="126">
        <v>2.3199999999999998</v>
      </c>
      <c r="H182" s="124">
        <v>10955955</v>
      </c>
      <c r="I182" s="129">
        <f t="shared" si="33"/>
        <v>2.3199999999999998</v>
      </c>
      <c r="K182" s="86">
        <f t="shared" si="35"/>
        <v>0.33333333333333326</v>
      </c>
      <c r="L182" s="87">
        <f t="shared" si="36"/>
        <v>10955.955</v>
      </c>
      <c r="M182" s="67">
        <f t="shared" si="37"/>
        <v>174</v>
      </c>
      <c r="N182" s="68">
        <f t="shared" si="42"/>
        <v>2.3199999999999998</v>
      </c>
      <c r="O182" s="92">
        <f t="shared" si="40"/>
        <v>14685.126779471808</v>
      </c>
      <c r="P182" s="61">
        <f t="shared" si="41"/>
        <v>33230.18370668836</v>
      </c>
      <c r="Q182" s="93">
        <f t="shared" si="43"/>
        <v>-3527.5231810980595</v>
      </c>
      <c r="R182" s="61">
        <f t="shared" si="44"/>
        <v>41965.521084311738</v>
      </c>
      <c r="S182" s="100">
        <f t="shared" si="45"/>
        <v>-8735.3373776233784</v>
      </c>
      <c r="T182" s="91">
        <f t="shared" si="38"/>
        <v>-7896.0269559371436</v>
      </c>
      <c r="U182" s="101"/>
      <c r="V182" s="61">
        <f t="shared" si="32"/>
        <v>30541.970947276535</v>
      </c>
      <c r="W182" s="61">
        <f t="shared" si="39"/>
        <v>29441.624365482236</v>
      </c>
    </row>
    <row r="183" spans="1:23" x14ac:dyDescent="0.25">
      <c r="A183" s="73">
        <f t="shared" si="34"/>
        <v>176</v>
      </c>
      <c r="C183" s="127">
        <v>46191.291666666657</v>
      </c>
      <c r="D183" s="128">
        <v>2.31</v>
      </c>
      <c r="E183" s="128">
        <v>3.24</v>
      </c>
      <c r="F183" s="128">
        <v>2.15</v>
      </c>
      <c r="G183" s="128">
        <v>2.6802000000000001</v>
      </c>
      <c r="H183" s="124">
        <v>19799867</v>
      </c>
      <c r="I183" s="129">
        <f t="shared" si="33"/>
        <v>2.6802000000000001</v>
      </c>
      <c r="K183" s="86">
        <f t="shared" si="35"/>
        <v>0.15525862068965535</v>
      </c>
      <c r="L183" s="87">
        <f t="shared" si="36"/>
        <v>19799.866999999998</v>
      </c>
      <c r="M183" s="67">
        <f t="shared" si="37"/>
        <v>175</v>
      </c>
      <c r="N183" s="68">
        <f t="shared" si="42"/>
        <v>2.6802000000000001</v>
      </c>
      <c r="O183" s="92">
        <f t="shared" si="40"/>
        <v>12692.099560695158</v>
      </c>
      <c r="P183" s="61">
        <f t="shared" si="41"/>
        <v>33230.18370668836</v>
      </c>
      <c r="Q183" s="93">
        <f t="shared" si="43"/>
        <v>1806.9222504759773</v>
      </c>
      <c r="R183" s="61">
        <f t="shared" si="44"/>
        <v>39359.076794340341</v>
      </c>
      <c r="S183" s="100">
        <f t="shared" si="45"/>
        <v>-6128.8930876519807</v>
      </c>
      <c r="T183" s="91">
        <f t="shared" si="38"/>
        <v>-5341.7115517651737</v>
      </c>
      <c r="U183" s="101"/>
      <c r="V183" s="61">
        <f t="shared" si="32"/>
        <v>35824.287493051139</v>
      </c>
      <c r="W183" s="61">
        <f t="shared" si="39"/>
        <v>34012.690355329956</v>
      </c>
    </row>
    <row r="184" spans="1:23" x14ac:dyDescent="0.25">
      <c r="A184" s="73">
        <f t="shared" si="34"/>
        <v>177</v>
      </c>
      <c r="C184" s="125">
        <v>46191.302083333343</v>
      </c>
      <c r="D184" s="126">
        <v>2.6903999999999999</v>
      </c>
      <c r="E184" s="126">
        <v>3.35</v>
      </c>
      <c r="F184" s="126">
        <v>2.61</v>
      </c>
      <c r="G184" s="126">
        <v>3.11</v>
      </c>
      <c r="H184" s="124">
        <v>20547231</v>
      </c>
      <c r="I184" s="129">
        <f t="shared" si="33"/>
        <v>3.11</v>
      </c>
      <c r="K184" s="86">
        <f t="shared" si="35"/>
        <v>0.1603611670770837</v>
      </c>
      <c r="L184" s="87">
        <f t="shared" si="36"/>
        <v>20547.231</v>
      </c>
      <c r="M184" s="67">
        <f t="shared" si="37"/>
        <v>176</v>
      </c>
      <c r="N184" s="68">
        <f t="shared" si="42"/>
        <v>3.11</v>
      </c>
      <c r="O184" s="92">
        <f t="shared" si="40"/>
        <v>10938.788520695693</v>
      </c>
      <c r="P184" s="61">
        <f t="shared" si="41"/>
        <v>33230.18370668836</v>
      </c>
      <c r="Q184" s="93">
        <f t="shared" si="43"/>
        <v>7263.4415488626328</v>
      </c>
      <c r="R184" s="61">
        <f t="shared" si="44"/>
        <v>39472.429633761938</v>
      </c>
      <c r="S184" s="100">
        <f t="shared" si="45"/>
        <v>-6242.2459270735781</v>
      </c>
      <c r="T184" s="91">
        <f t="shared" si="38"/>
        <v>-5452.7973343983394</v>
      </c>
      <c r="U184" s="101"/>
      <c r="V184" s="61">
        <f t="shared" si="32"/>
        <v>41283.073848226239</v>
      </c>
      <c r="W184" s="61">
        <f t="shared" si="39"/>
        <v>39467.005076142137</v>
      </c>
    </row>
    <row r="185" spans="1:23" x14ac:dyDescent="0.25">
      <c r="A185" s="73">
        <f t="shared" si="34"/>
        <v>178</v>
      </c>
      <c r="C185" s="127">
        <v>46191.3125</v>
      </c>
      <c r="D185" s="128">
        <v>3.1</v>
      </c>
      <c r="E185" s="128">
        <v>3.278</v>
      </c>
      <c r="F185" s="128">
        <v>2.6</v>
      </c>
      <c r="G185" s="128">
        <v>2.8813</v>
      </c>
      <c r="H185" s="124">
        <v>35181463</v>
      </c>
      <c r="I185" s="129">
        <f t="shared" si="33"/>
        <v>2.8813</v>
      </c>
      <c r="K185" s="86">
        <f t="shared" si="35"/>
        <v>-7.3536977491961419E-2</v>
      </c>
      <c r="L185" s="87">
        <f t="shared" si="36"/>
        <v>35181.463000000003</v>
      </c>
      <c r="M185" s="67">
        <f t="shared" si="37"/>
        <v>177</v>
      </c>
      <c r="N185" s="68">
        <f t="shared" si="42"/>
        <v>2.8813</v>
      </c>
      <c r="O185" s="92">
        <f t="shared" si="40"/>
        <v>11314.276569393936</v>
      </c>
      <c r="P185" s="61">
        <f t="shared" si="41"/>
        <v>34041.603992724049</v>
      </c>
      <c r="Q185" s="93">
        <f t="shared" si="43"/>
        <v>6196.5093344946117</v>
      </c>
      <c r="R185" s="61">
        <f t="shared" si="44"/>
        <v>31517.931364680499</v>
      </c>
      <c r="S185" s="100">
        <f t="shared" si="45"/>
        <v>1712.2523420078614</v>
      </c>
      <c r="T185" s="91">
        <f t="shared" si="38"/>
        <v>1081.8937147142515</v>
      </c>
      <c r="U185" s="101"/>
      <c r="V185" s="61">
        <f t="shared" si="32"/>
        <v>38796.334413889359</v>
      </c>
      <c r="W185" s="61">
        <f t="shared" si="39"/>
        <v>36564.720812182743</v>
      </c>
    </row>
    <row r="186" spans="1:23" x14ac:dyDescent="0.25">
      <c r="A186" s="73">
        <f t="shared" si="34"/>
        <v>179</v>
      </c>
      <c r="C186" s="125">
        <v>46191.322916666657</v>
      </c>
      <c r="D186" s="126">
        <v>2.88</v>
      </c>
      <c r="E186" s="126">
        <v>2.9</v>
      </c>
      <c r="F186" s="126">
        <v>2.4300000000000002</v>
      </c>
      <c r="G186" s="126">
        <v>2.5007999999999999</v>
      </c>
      <c r="H186" s="124">
        <v>17397310</v>
      </c>
      <c r="I186" s="129">
        <f t="shared" si="33"/>
        <v>2.5007999999999999</v>
      </c>
      <c r="K186" s="86">
        <f t="shared" si="35"/>
        <v>-0.13205844584041926</v>
      </c>
      <c r="L186" s="87">
        <f t="shared" si="36"/>
        <v>17397.310000000001</v>
      </c>
      <c r="M186" s="67">
        <f t="shared" si="37"/>
        <v>178</v>
      </c>
      <c r="N186" s="68">
        <f t="shared" si="42"/>
        <v>2.5007999999999999</v>
      </c>
      <c r="O186" s="92">
        <f t="shared" si="40"/>
        <v>13386.000134288724</v>
      </c>
      <c r="P186" s="61">
        <f t="shared" si="41"/>
        <v>37927.328711040711</v>
      </c>
      <c r="Q186" s="93">
        <f t="shared" si="43"/>
        <v>1028.3068380793356</v>
      </c>
      <c r="R186" s="61">
        <f t="shared" si="44"/>
        <v>28294.742844740354</v>
      </c>
      <c r="S186" s="100">
        <f t="shared" si="45"/>
        <v>5746.8611479836945</v>
      </c>
      <c r="T186" s="91">
        <f t="shared" si="38"/>
        <v>5180.9662910888874</v>
      </c>
      <c r="U186" s="101"/>
      <c r="V186" s="61">
        <f t="shared" si="32"/>
        <v>34504.015973908572</v>
      </c>
      <c r="W186" s="61">
        <f t="shared" si="39"/>
        <v>31736.040609137057</v>
      </c>
    </row>
    <row r="187" spans="1:23" x14ac:dyDescent="0.25">
      <c r="A187" s="73">
        <f t="shared" si="34"/>
        <v>180</v>
      </c>
      <c r="C187" s="127">
        <v>46191.333333333343</v>
      </c>
      <c r="D187" s="128">
        <v>2.5005999999999999</v>
      </c>
      <c r="E187" s="128">
        <v>2.6</v>
      </c>
      <c r="F187" s="128">
        <v>2.31</v>
      </c>
      <c r="G187" s="128">
        <v>2.46</v>
      </c>
      <c r="H187" s="124">
        <v>21160145</v>
      </c>
      <c r="I187" s="129">
        <f t="shared" si="33"/>
        <v>2.46</v>
      </c>
      <c r="K187" s="86">
        <f t="shared" si="35"/>
        <v>-1.6314779270633406E-2</v>
      </c>
      <c r="L187" s="87">
        <f t="shared" si="36"/>
        <v>21160.145</v>
      </c>
      <c r="M187" s="67">
        <f t="shared" si="37"/>
        <v>179</v>
      </c>
      <c r="N187" s="68">
        <f t="shared" si="42"/>
        <v>2.46</v>
      </c>
      <c r="O187" s="92">
        <f t="shared" si="40"/>
        <v>15149.893294485246</v>
      </c>
      <c r="P187" s="61">
        <f t="shared" si="41"/>
        <v>41181.711591603293</v>
      </c>
      <c r="Q187" s="93">
        <f t="shared" si="43"/>
        <v>-3308.7521922825026</v>
      </c>
      <c r="R187" s="61">
        <f t="shared" si="44"/>
        <v>32929.560330350265</v>
      </c>
      <c r="S187" s="100">
        <f t="shared" si="45"/>
        <v>4997.7683806904461</v>
      </c>
      <c r="T187" s="91">
        <f t="shared" si="38"/>
        <v>4339.1771740834411</v>
      </c>
      <c r="U187" s="101"/>
      <c r="V187" s="61">
        <f t="shared" si="32"/>
        <v>33959.985312151199</v>
      </c>
      <c r="W187" s="61">
        <f t="shared" si="39"/>
        <v>31218.274111675128</v>
      </c>
    </row>
    <row r="188" spans="1:23" x14ac:dyDescent="0.25">
      <c r="A188" s="73">
        <f t="shared" si="34"/>
        <v>181</v>
      </c>
      <c r="C188" s="125">
        <v>46191.34375</v>
      </c>
      <c r="D188" s="126">
        <v>2.4500000000000002</v>
      </c>
      <c r="E188" s="126">
        <v>2.59</v>
      </c>
      <c r="F188" s="126">
        <v>2.37</v>
      </c>
      <c r="G188" s="126">
        <v>2.5697000000000001</v>
      </c>
      <c r="H188" s="124">
        <v>12921657</v>
      </c>
      <c r="I188" s="129">
        <f t="shared" si="33"/>
        <v>2.5697000000000001</v>
      </c>
      <c r="K188" s="86">
        <f t="shared" si="35"/>
        <v>4.4593495934959426E-2</v>
      </c>
      <c r="L188" s="87">
        <f t="shared" si="36"/>
        <v>12921.656999999999</v>
      </c>
      <c r="M188" s="67">
        <f t="shared" si="37"/>
        <v>180</v>
      </c>
      <c r="N188" s="68">
        <f t="shared" si="42"/>
        <v>2.5697000000000001</v>
      </c>
      <c r="O188" s="92">
        <f t="shared" si="40"/>
        <v>15722.885152207073</v>
      </c>
      <c r="P188" s="61">
        <f t="shared" si="41"/>
        <v>42286.024474194128</v>
      </c>
      <c r="Q188" s="93">
        <f t="shared" si="43"/>
        <v>-4787.9848568438683</v>
      </c>
      <c r="R188" s="61">
        <f t="shared" si="44"/>
        <v>38930.680798838737</v>
      </c>
      <c r="S188" s="100">
        <f t="shared" si="45"/>
        <v>2251.0307927645554</v>
      </c>
      <c r="T188" s="91">
        <f t="shared" si="38"/>
        <v>1472.4171767877806</v>
      </c>
      <c r="U188" s="101"/>
      <c r="V188" s="61">
        <f t="shared" si="32"/>
        <v>35615.113118782647</v>
      </c>
      <c r="W188" s="61">
        <f t="shared" si="39"/>
        <v>32610.406091370562</v>
      </c>
    </row>
    <row r="189" spans="1:23" x14ac:dyDescent="0.25">
      <c r="A189" s="73">
        <f t="shared" si="34"/>
        <v>182</v>
      </c>
      <c r="C189" s="127">
        <v>46191.354166666657</v>
      </c>
      <c r="D189" s="128">
        <v>2.56</v>
      </c>
      <c r="E189" s="128">
        <v>2.57</v>
      </c>
      <c r="F189" s="128">
        <v>2.2999999999999998</v>
      </c>
      <c r="G189" s="128">
        <v>2.4</v>
      </c>
      <c r="H189" s="124">
        <v>25062535</v>
      </c>
      <c r="I189" s="129">
        <f t="shared" si="33"/>
        <v>2.4</v>
      </c>
      <c r="K189" s="86">
        <f t="shared" si="35"/>
        <v>-6.6038837218352353E-2</v>
      </c>
      <c r="L189" s="87">
        <f t="shared" si="36"/>
        <v>25062.535</v>
      </c>
      <c r="M189" s="67">
        <f t="shared" si="37"/>
        <v>181</v>
      </c>
      <c r="N189" s="68">
        <f t="shared" si="42"/>
        <v>2.4</v>
      </c>
      <c r="O189" s="92">
        <f t="shared" si="40"/>
        <v>17304.719161203411</v>
      </c>
      <c r="P189" s="61">
        <f t="shared" si="41"/>
        <v>45133.325690387537</v>
      </c>
      <c r="Q189" s="93">
        <f t="shared" si="43"/>
        <v>-8594.2489433026676</v>
      </c>
      <c r="R189" s="61">
        <f t="shared" si="44"/>
        <v>37734.924365296974</v>
      </c>
      <c r="S189" s="100">
        <f t="shared" si="45"/>
        <v>4551.1001088971534</v>
      </c>
      <c r="T189" s="91">
        <f t="shared" si="38"/>
        <v>3796.4016215912138</v>
      </c>
      <c r="U189" s="101"/>
      <c r="V189" s="61">
        <f t="shared" si="32"/>
        <v>32937.077043585523</v>
      </c>
      <c r="W189" s="61">
        <f t="shared" si="39"/>
        <v>30456.852791878173</v>
      </c>
    </row>
    <row r="190" spans="1:23" x14ac:dyDescent="0.25">
      <c r="A190" s="73">
        <f t="shared" si="34"/>
        <v>183</v>
      </c>
      <c r="C190" s="125">
        <v>46191.364583333343</v>
      </c>
      <c r="D190" s="126">
        <v>2.39</v>
      </c>
      <c r="E190" s="126">
        <v>2.39</v>
      </c>
      <c r="F190" s="126">
        <v>2.2200000000000002</v>
      </c>
      <c r="G190" s="126">
        <v>2.2799999999999998</v>
      </c>
      <c r="H190" s="124">
        <v>12135766</v>
      </c>
      <c r="I190" s="129">
        <f t="shared" si="33"/>
        <v>2.2799999999999998</v>
      </c>
      <c r="K190" s="86">
        <f t="shared" si="35"/>
        <v>-5.0000000000000044E-2</v>
      </c>
      <c r="L190" s="87">
        <f t="shared" si="36"/>
        <v>12135.766</v>
      </c>
      <c r="M190" s="67">
        <f t="shared" si="37"/>
        <v>182</v>
      </c>
      <c r="N190" s="68">
        <f t="shared" si="42"/>
        <v>2.2799999999999998</v>
      </c>
      <c r="O190" s="92">
        <f t="shared" si="40"/>
        <v>19449.223902033627</v>
      </c>
      <c r="P190" s="61">
        <f t="shared" si="41"/>
        <v>48800.428797207205</v>
      </c>
      <c r="Q190" s="93">
        <f t="shared" si="43"/>
        <v>-13501.422498081029</v>
      </c>
      <c r="R190" s="61">
        <f t="shared" si="44"/>
        <v>39454.759687543774</v>
      </c>
      <c r="S190" s="100">
        <f t="shared" si="45"/>
        <v>5678.5660028437633</v>
      </c>
      <c r="T190" s="91">
        <f t="shared" si="38"/>
        <v>4889.470809092888</v>
      </c>
      <c r="U190" s="101"/>
      <c r="V190" s="61">
        <f t="shared" si="32"/>
        <v>30842.807998555636</v>
      </c>
      <c r="W190" s="61">
        <f t="shared" si="39"/>
        <v>28934.010152284263</v>
      </c>
    </row>
    <row r="191" spans="1:23" x14ac:dyDescent="0.25">
      <c r="A191" s="73">
        <f t="shared" si="34"/>
        <v>184</v>
      </c>
      <c r="C191" s="127">
        <v>46191.375</v>
      </c>
      <c r="D191" s="128">
        <v>2.29</v>
      </c>
      <c r="E191" s="128">
        <v>2.3250000000000002</v>
      </c>
      <c r="F191" s="128">
        <v>2.06</v>
      </c>
      <c r="G191" s="128">
        <v>2.1086999999999998</v>
      </c>
      <c r="H191" s="124">
        <v>15057873</v>
      </c>
      <c r="I191" s="129">
        <f t="shared" si="33"/>
        <v>2.1086999999999998</v>
      </c>
      <c r="K191" s="86">
        <f t="shared" si="35"/>
        <v>-7.5131578947368438E-2</v>
      </c>
      <c r="L191" s="87">
        <f t="shared" si="36"/>
        <v>15057.873</v>
      </c>
      <c r="M191" s="67">
        <f t="shared" si="37"/>
        <v>183</v>
      </c>
      <c r="N191" s="68">
        <f t="shared" si="42"/>
        <v>2.1086999999999998</v>
      </c>
      <c r="O191" s="92">
        <f t="shared" si="40"/>
        <v>22753.439193988164</v>
      </c>
      <c r="P191" s="61">
        <f t="shared" si="41"/>
        <v>54026.127886815608</v>
      </c>
      <c r="Q191" s="93">
        <f t="shared" si="43"/>
        <v>-20496.832003981581</v>
      </c>
      <c r="R191" s="61">
        <f t="shared" si="44"/>
        <v>41012.578442218306</v>
      </c>
      <c r="S191" s="100">
        <f t="shared" si="45"/>
        <v>7787.8503549888992</v>
      </c>
      <c r="T191" s="91">
        <f t="shared" si="38"/>
        <v>6967.5987861445328</v>
      </c>
      <c r="U191" s="101"/>
      <c r="V191" s="61">
        <f t="shared" si="32"/>
        <v>27483.345224381257</v>
      </c>
      <c r="W191" s="61">
        <f t="shared" si="39"/>
        <v>26760.152284263961</v>
      </c>
    </row>
    <row r="192" spans="1:23" x14ac:dyDescent="0.25">
      <c r="A192" s="73">
        <f t="shared" si="34"/>
        <v>185</v>
      </c>
      <c r="C192" s="125">
        <v>46191.385416666657</v>
      </c>
      <c r="D192" s="126">
        <v>2.11</v>
      </c>
      <c r="E192" s="126">
        <v>2.2799999999999998</v>
      </c>
      <c r="F192" s="126">
        <v>2.1</v>
      </c>
      <c r="G192" s="126">
        <v>2.2400000000000002</v>
      </c>
      <c r="H192" s="124">
        <v>12184160</v>
      </c>
      <c r="I192" s="129">
        <f t="shared" si="33"/>
        <v>2.2400000000000002</v>
      </c>
      <c r="K192" s="86">
        <f t="shared" si="35"/>
        <v>6.2265850998245664E-2</v>
      </c>
      <c r="L192" s="87">
        <f t="shared" si="36"/>
        <v>12184.16</v>
      </c>
      <c r="M192" s="67">
        <f t="shared" si="37"/>
        <v>184</v>
      </c>
      <c r="N192" s="68">
        <f t="shared" si="42"/>
        <v>2.2400000000000002</v>
      </c>
      <c r="O192" s="92">
        <f t="shared" si="40"/>
        <v>23663.738308448628</v>
      </c>
      <c r="P192" s="61">
        <f t="shared" si="41"/>
        <v>55555.430399109187</v>
      </c>
      <c r="Q192" s="93">
        <f t="shared" si="43"/>
        <v>-22578.122138351697</v>
      </c>
      <c r="R192" s="61">
        <f t="shared" si="44"/>
        <v>50967.703794533496</v>
      </c>
      <c r="S192" s="100">
        <f t="shared" si="45"/>
        <v>3058.4240922821118</v>
      </c>
      <c r="T192" s="91">
        <f t="shared" si="38"/>
        <v>2039.0700163914419</v>
      </c>
      <c r="U192" s="101"/>
      <c r="V192" s="61">
        <f t="shared" si="32"/>
        <v>30428.651672573236</v>
      </c>
      <c r="W192" s="61">
        <f t="shared" si="39"/>
        <v>28426.395939086298</v>
      </c>
    </row>
    <row r="193" spans="1:23" x14ac:dyDescent="0.25">
      <c r="A193" s="73">
        <f t="shared" si="34"/>
        <v>186</v>
      </c>
      <c r="C193" s="127">
        <v>46191.395833333343</v>
      </c>
      <c r="D193" s="128">
        <v>2.2450000000000001</v>
      </c>
      <c r="E193" s="128">
        <v>2.25</v>
      </c>
      <c r="F193" s="128">
        <v>2.0499999999999998</v>
      </c>
      <c r="G193" s="128">
        <v>2.0706000000000002</v>
      </c>
      <c r="H193" s="124">
        <v>21309981</v>
      </c>
      <c r="I193" s="129">
        <f t="shared" si="33"/>
        <v>2.0706000000000002</v>
      </c>
      <c r="K193" s="86">
        <f t="shared" si="35"/>
        <v>-7.5624999999999942E-2</v>
      </c>
      <c r="L193" s="87">
        <f t="shared" si="36"/>
        <v>21309.981</v>
      </c>
      <c r="M193" s="67">
        <f t="shared" si="37"/>
        <v>185</v>
      </c>
      <c r="N193" s="68">
        <f t="shared" si="42"/>
        <v>2.0706000000000002</v>
      </c>
      <c r="O193" s="92">
        <f t="shared" si="40"/>
        <v>26357.320423200861</v>
      </c>
      <c r="P193" s="61">
        <f t="shared" si="41"/>
        <v>59738.42874421367</v>
      </c>
      <c r="Q193" s="93">
        <f t="shared" si="43"/>
        <v>-28201.960500043191</v>
      </c>
      <c r="R193" s="61">
        <f t="shared" si="44"/>
        <v>48998.136541473737</v>
      </c>
      <c r="S193" s="100">
        <f t="shared" si="45"/>
        <v>6557.29385763545</v>
      </c>
      <c r="T193" s="91">
        <f t="shared" si="38"/>
        <v>5577.3311268059751</v>
      </c>
      <c r="U193" s="101"/>
      <c r="V193" s="61">
        <f t="shared" si="32"/>
        <v>26373.507168236516</v>
      </c>
      <c r="W193" s="61">
        <f t="shared" si="39"/>
        <v>26276.649746192899</v>
      </c>
    </row>
    <row r="194" spans="1:23" x14ac:dyDescent="0.25">
      <c r="A194" s="73">
        <f t="shared" si="34"/>
        <v>187</v>
      </c>
      <c r="C194" s="125">
        <v>46191.40625</v>
      </c>
      <c r="D194" s="126">
        <v>2.0703</v>
      </c>
      <c r="E194" s="126">
        <v>2.14</v>
      </c>
      <c r="F194" s="126">
        <v>1.9200999999999999</v>
      </c>
      <c r="G194" s="126">
        <v>2.0099999999999998</v>
      </c>
      <c r="H194" s="124">
        <v>10566285</v>
      </c>
      <c r="I194" s="129">
        <f t="shared" si="33"/>
        <v>2.0099999999999998</v>
      </c>
      <c r="K194" s="86">
        <f t="shared" si="35"/>
        <v>-2.9266879165459447E-2</v>
      </c>
      <c r="L194" s="87">
        <f t="shared" si="36"/>
        <v>10566.285</v>
      </c>
      <c r="M194" s="67">
        <f t="shared" si="37"/>
        <v>186</v>
      </c>
      <c r="N194" s="68">
        <f t="shared" si="42"/>
        <v>2.0099999999999998</v>
      </c>
      <c r="O194" s="92">
        <f t="shared" si="40"/>
        <v>29193.464907065176</v>
      </c>
      <c r="P194" s="61">
        <f t="shared" si="41"/>
        <v>64013.916553639123</v>
      </c>
      <c r="Q194" s="93">
        <f t="shared" si="43"/>
        <v>-33960.702333729125</v>
      </c>
      <c r="R194" s="61">
        <f t="shared" si="44"/>
        <v>52978.214050633724</v>
      </c>
      <c r="S194" s="100">
        <f t="shared" si="45"/>
        <v>6760.2146935799465</v>
      </c>
      <c r="T194" s="91">
        <f t="shared" si="38"/>
        <v>5700.6504125672718</v>
      </c>
      <c r="U194" s="101"/>
      <c r="V194" s="61">
        <f t="shared" si="32"/>
        <v>24718.162129471872</v>
      </c>
      <c r="W194" s="61">
        <f t="shared" si="39"/>
        <v>25507.614213197969</v>
      </c>
    </row>
    <row r="195" spans="1:23" x14ac:dyDescent="0.25">
      <c r="A195" s="73">
        <f t="shared" si="34"/>
        <v>188</v>
      </c>
      <c r="C195" s="127">
        <v>46191.416666666657</v>
      </c>
      <c r="D195" s="128">
        <v>2.0099999999999998</v>
      </c>
      <c r="E195" s="128">
        <v>2.09</v>
      </c>
      <c r="F195" s="128">
        <v>1.98</v>
      </c>
      <c r="G195" s="128">
        <v>2.0750000000000002</v>
      </c>
      <c r="H195" s="124">
        <v>25508384</v>
      </c>
      <c r="I195" s="129">
        <f t="shared" si="33"/>
        <v>2.0750000000000002</v>
      </c>
      <c r="K195" s="86">
        <f t="shared" si="35"/>
        <v>3.2338308457711573E-2</v>
      </c>
      <c r="L195" s="87">
        <f t="shared" si="36"/>
        <v>25508.383999999998</v>
      </c>
      <c r="M195" s="67">
        <f t="shared" si="37"/>
        <v>187</v>
      </c>
      <c r="N195" s="68">
        <f t="shared" si="42"/>
        <v>2.0750000000000002</v>
      </c>
      <c r="O195" s="92">
        <f t="shared" si="40"/>
        <v>30266.210968672731</v>
      </c>
      <c r="P195" s="61">
        <f t="shared" si="41"/>
        <v>65683.377612015873</v>
      </c>
      <c r="Q195" s="93">
        <f t="shared" si="43"/>
        <v>-36256.603897981149</v>
      </c>
      <c r="R195" s="61">
        <f t="shared" si="44"/>
        <v>60576.439682160242</v>
      </c>
      <c r="S195" s="100">
        <f t="shared" si="45"/>
        <v>3437.4768714788806</v>
      </c>
      <c r="T195" s="91">
        <f t="shared" si="38"/>
        <v>2225.9480778356756</v>
      </c>
      <c r="U195" s="101"/>
      <c r="V195" s="61">
        <f t="shared" si="32"/>
        <v>26545.783862014774</v>
      </c>
      <c r="W195" s="61">
        <f t="shared" si="39"/>
        <v>26332.487309644675</v>
      </c>
    </row>
    <row r="196" spans="1:23" x14ac:dyDescent="0.25">
      <c r="A196" s="73">
        <f t="shared" si="34"/>
        <v>189</v>
      </c>
      <c r="C196" s="125">
        <v>46191.427083333343</v>
      </c>
      <c r="D196" s="126">
        <v>2.0750000000000002</v>
      </c>
      <c r="E196" s="126">
        <v>2.09</v>
      </c>
      <c r="F196" s="126">
        <v>2</v>
      </c>
      <c r="G196" s="126">
        <v>2.0522</v>
      </c>
      <c r="H196" s="124">
        <v>20107898</v>
      </c>
      <c r="I196" s="129">
        <f t="shared" si="33"/>
        <v>2.0522</v>
      </c>
      <c r="K196" s="86">
        <f t="shared" si="35"/>
        <v>-1.0987951807229002E-2</v>
      </c>
      <c r="L196" s="87">
        <f t="shared" si="36"/>
        <v>20107.898000000001</v>
      </c>
      <c r="M196" s="67">
        <f t="shared" si="37"/>
        <v>188</v>
      </c>
      <c r="N196" s="68">
        <f t="shared" si="42"/>
        <v>2.0522</v>
      </c>
      <c r="O196" s="92">
        <f t="shared" si="40"/>
        <v>31400.999536603485</v>
      </c>
      <c r="P196" s="61">
        <f t="shared" si="41"/>
        <v>67429.987436346491</v>
      </c>
      <c r="Q196" s="93">
        <f t="shared" si="43"/>
        <v>-38660.099664819027</v>
      </c>
      <c r="R196" s="61">
        <f t="shared" si="44"/>
        <v>62112.318149910177</v>
      </c>
      <c r="S196" s="100">
        <f t="shared" si="45"/>
        <v>3571.0594621056953</v>
      </c>
      <c r="T196" s="91">
        <f t="shared" si="38"/>
        <v>2328.8130991074918</v>
      </c>
      <c r="U196" s="101"/>
      <c r="V196" s="61">
        <f t="shared" si="32"/>
        <v>25781.031584198645</v>
      </c>
      <c r="W196" s="61">
        <f t="shared" si="39"/>
        <v>26043.147208121831</v>
      </c>
    </row>
    <row r="197" spans="1:23" x14ac:dyDescent="0.25">
      <c r="A197" s="73">
        <f t="shared" si="34"/>
        <v>190</v>
      </c>
      <c r="C197" s="127">
        <v>46191.4375</v>
      </c>
      <c r="D197" s="128">
        <v>2.0501</v>
      </c>
      <c r="E197" s="128">
        <v>2.11</v>
      </c>
      <c r="F197" s="128">
        <v>2.02</v>
      </c>
      <c r="G197" s="128">
        <v>2.08</v>
      </c>
      <c r="H197" s="124">
        <v>24118833</v>
      </c>
      <c r="I197" s="129">
        <f t="shared" si="33"/>
        <v>2.08</v>
      </c>
      <c r="K197" s="86">
        <f t="shared" si="35"/>
        <v>1.3546437969008895E-2</v>
      </c>
      <c r="L197" s="87">
        <f t="shared" si="36"/>
        <v>24118.832999999999</v>
      </c>
      <c r="M197" s="67">
        <f t="shared" si="37"/>
        <v>189</v>
      </c>
      <c r="N197" s="68">
        <f t="shared" si="42"/>
        <v>2.08</v>
      </c>
      <c r="O197" s="92">
        <f t="shared" si="40"/>
        <v>31790.243199819124</v>
      </c>
      <c r="P197" s="61">
        <f t="shared" si="41"/>
        <v>68037.207550962892</v>
      </c>
      <c r="Q197" s="93">
        <f t="shared" si="43"/>
        <v>-39549.359959792891</v>
      </c>
      <c r="R197" s="61">
        <f t="shared" si="44"/>
        <v>65314.079036135256</v>
      </c>
      <c r="S197" s="100">
        <f t="shared" si="45"/>
        <v>2115.9084002112359</v>
      </c>
      <c r="T197" s="91">
        <f t="shared" si="38"/>
        <v>809.62681948853083</v>
      </c>
      <c r="U197" s="101"/>
      <c r="V197" s="61">
        <f t="shared" si="32"/>
        <v>26574.345895830884</v>
      </c>
      <c r="W197" s="61">
        <f t="shared" si="39"/>
        <v>26395.93908629442</v>
      </c>
    </row>
    <row r="198" spans="1:23" x14ac:dyDescent="0.25">
      <c r="A198" s="73">
        <f t="shared" si="34"/>
        <v>191</v>
      </c>
      <c r="C198" s="125">
        <v>46191.447916666657</v>
      </c>
      <c r="D198" s="126">
        <v>2.08</v>
      </c>
      <c r="E198" s="126">
        <v>2.11</v>
      </c>
      <c r="F198" s="126">
        <v>2.0249999999999999</v>
      </c>
      <c r="G198" s="126">
        <v>2.09</v>
      </c>
      <c r="H198" s="124">
        <v>10740754</v>
      </c>
      <c r="I198" s="129">
        <f t="shared" si="33"/>
        <v>2.09</v>
      </c>
      <c r="K198" s="86">
        <f t="shared" si="35"/>
        <v>4.8076923076922906E-3</v>
      </c>
      <c r="L198" s="87">
        <f t="shared" si="36"/>
        <v>10740.754000000001</v>
      </c>
      <c r="M198" s="67">
        <f t="shared" si="37"/>
        <v>190</v>
      </c>
      <c r="N198" s="68">
        <f t="shared" si="42"/>
        <v>2.09</v>
      </c>
      <c r="O198" s="92">
        <f t="shared" si="40"/>
        <v>31917.882959430844</v>
      </c>
      <c r="P198" s="61">
        <f t="shared" si="41"/>
        <v>68237.282874154262</v>
      </c>
      <c r="Q198" s="93">
        <f t="shared" si="43"/>
        <v>-39897.592263475635</v>
      </c>
      <c r="R198" s="61">
        <f t="shared" si="44"/>
        <v>66441.608287621959</v>
      </c>
      <c r="S198" s="100">
        <f t="shared" si="45"/>
        <v>1595.5992633409332</v>
      </c>
      <c r="T198" s="91">
        <f t="shared" si="38"/>
        <v>266.76709758849415</v>
      </c>
      <c r="U198" s="101"/>
      <c r="V198" s="61">
        <f t="shared" si="32"/>
        <v>26810.783121734821</v>
      </c>
      <c r="W198" s="61">
        <f t="shared" si="39"/>
        <v>26522.84263959391</v>
      </c>
    </row>
    <row r="199" spans="1:23" x14ac:dyDescent="0.25">
      <c r="A199" s="73">
        <f t="shared" si="34"/>
        <v>192</v>
      </c>
      <c r="C199" s="127">
        <v>46191.458333333343</v>
      </c>
      <c r="D199" s="128">
        <v>2.0649999999999999</v>
      </c>
      <c r="E199" s="128">
        <v>2.1</v>
      </c>
      <c r="F199" s="128">
        <v>2.0299999999999998</v>
      </c>
      <c r="G199" s="128">
        <v>2.0699999999999998</v>
      </c>
      <c r="H199" s="124">
        <v>13747219</v>
      </c>
      <c r="I199" s="129">
        <f t="shared" si="33"/>
        <v>2.0699999999999998</v>
      </c>
      <c r="K199" s="86">
        <f t="shared" si="35"/>
        <v>-9.5693779904306719E-3</v>
      </c>
      <c r="L199" s="87">
        <f t="shared" si="36"/>
        <v>13747.218999999999</v>
      </c>
      <c r="M199" s="67">
        <f t="shared" si="37"/>
        <v>191</v>
      </c>
      <c r="N199" s="68">
        <f t="shared" si="42"/>
        <v>2.0699999999999998</v>
      </c>
      <c r="O199" s="92">
        <f t="shared" si="40"/>
        <v>32326.513294509095</v>
      </c>
      <c r="P199" s="61">
        <f t="shared" si="41"/>
        <v>68871.681469363248</v>
      </c>
      <c r="Q199" s="93">
        <f t="shared" si="43"/>
        <v>-40825.639564711317</v>
      </c>
      <c r="R199" s="61">
        <f t="shared" si="44"/>
        <v>66070.017726021848</v>
      </c>
      <c r="S199" s="100">
        <f t="shared" si="45"/>
        <v>2167.2651481324137</v>
      </c>
      <c r="T199" s="91">
        <f t="shared" si="38"/>
        <v>845.86479361197667</v>
      </c>
      <c r="U199" s="101"/>
      <c r="V199" s="61">
        <f t="shared" si="32"/>
        <v>26090.242954922513</v>
      </c>
      <c r="W199" s="61">
        <f t="shared" si="39"/>
        <v>26269.035532994923</v>
      </c>
    </row>
    <row r="200" spans="1:23" x14ac:dyDescent="0.25">
      <c r="A200" s="73">
        <f t="shared" si="34"/>
        <v>193</v>
      </c>
      <c r="C200" s="125">
        <v>46191.46875</v>
      </c>
      <c r="D200" s="126">
        <v>2.0699999999999998</v>
      </c>
      <c r="E200" s="126">
        <v>2.08</v>
      </c>
      <c r="F200" s="126">
        <v>2.0299</v>
      </c>
      <c r="G200" s="126">
        <v>2.0299999999999998</v>
      </c>
      <c r="H200" s="124">
        <v>21365046</v>
      </c>
      <c r="I200" s="129">
        <f t="shared" si="33"/>
        <v>2.0299999999999998</v>
      </c>
      <c r="K200" s="86">
        <f t="shared" si="35"/>
        <v>-1.9323671497584516E-2</v>
      </c>
      <c r="L200" s="87">
        <f t="shared" si="36"/>
        <v>21365.045999999998</v>
      </c>
      <c r="M200" s="67">
        <f t="shared" si="37"/>
        <v>192</v>
      </c>
      <c r="N200" s="68">
        <f t="shared" si="42"/>
        <v>2.0299999999999998</v>
      </c>
      <c r="O200" s="92">
        <f t="shared" si="40"/>
        <v>33280.406418525214</v>
      </c>
      <c r="P200" s="61">
        <f t="shared" si="41"/>
        <v>70323.983750677784</v>
      </c>
      <c r="Q200" s="93">
        <f t="shared" si="43"/>
        <v>-42846.136739578957</v>
      </c>
      <c r="R200" s="61">
        <f t="shared" si="44"/>
        <v>65622.821987853458</v>
      </c>
      <c r="S200" s="100">
        <f t="shared" si="45"/>
        <v>3248.8594815097895</v>
      </c>
      <c r="T200" s="91">
        <f t="shared" si="38"/>
        <v>1936.4030417527204</v>
      </c>
      <c r="U200" s="101"/>
      <c r="V200" s="61">
        <f t="shared" ref="V200:V263" si="46">Units*Price+Q$8:Q$65536</f>
        <v>24713.088290027226</v>
      </c>
      <c r="W200" s="61">
        <f t="shared" si="39"/>
        <v>25761.421319796955</v>
      </c>
    </row>
    <row r="201" spans="1:23" x14ac:dyDescent="0.25">
      <c r="A201" s="73">
        <f t="shared" si="34"/>
        <v>194</v>
      </c>
      <c r="C201" s="127">
        <v>46191.479166666657</v>
      </c>
      <c r="D201" s="128">
        <v>2.0449999999999999</v>
      </c>
      <c r="E201" s="128">
        <v>2.1</v>
      </c>
      <c r="F201" s="128">
        <v>1.97</v>
      </c>
      <c r="G201" s="128">
        <v>2.0150000000000001</v>
      </c>
      <c r="H201" s="124">
        <v>27640939</v>
      </c>
      <c r="I201" s="129">
        <f t="shared" ref="I201:I264" si="47">G201</f>
        <v>2.0150000000000001</v>
      </c>
      <c r="K201" s="86">
        <f t="shared" si="35"/>
        <v>-7.3891625615761791E-3</v>
      </c>
      <c r="L201" s="87">
        <f t="shared" si="36"/>
        <v>27640.938999999998</v>
      </c>
      <c r="M201" s="67">
        <f t="shared" si="37"/>
        <v>193</v>
      </c>
      <c r="N201" s="68">
        <f t="shared" si="42"/>
        <v>2.0150000000000001</v>
      </c>
      <c r="O201" s="92">
        <f t="shared" si="40"/>
        <v>34234.63194640755</v>
      </c>
      <c r="P201" s="61">
        <f t="shared" si="41"/>
        <v>71766.05707968997</v>
      </c>
      <c r="Q201" s="93">
        <f t="shared" si="43"/>
        <v>-44857.157204740695</v>
      </c>
      <c r="R201" s="61">
        <f t="shared" si="44"/>
        <v>67060.018933328305</v>
      </c>
      <c r="S201" s="100">
        <f t="shared" si="45"/>
        <v>3263.9648173494788</v>
      </c>
      <c r="T201" s="91">
        <f t="shared" si="38"/>
        <v>1922.7644386829127</v>
      </c>
      <c r="U201" s="101"/>
      <c r="V201" s="61">
        <f t="shared" si="46"/>
        <v>24125.626167270515</v>
      </c>
      <c r="W201" s="61">
        <f t="shared" si="39"/>
        <v>25571.065989847721</v>
      </c>
    </row>
    <row r="202" spans="1:23" x14ac:dyDescent="0.25">
      <c r="A202" s="73">
        <f t="shared" ref="A202:A258" si="48">1+A201</f>
        <v>195</v>
      </c>
      <c r="C202" s="125">
        <v>46191.489583333343</v>
      </c>
      <c r="D202" s="126">
        <v>2.0198999999999998</v>
      </c>
      <c r="E202" s="126">
        <v>2.08</v>
      </c>
      <c r="F202" s="126">
        <v>2.0099999999999998</v>
      </c>
      <c r="G202" s="126">
        <v>2.0150000000000001</v>
      </c>
      <c r="H202" s="124">
        <v>18288121</v>
      </c>
      <c r="I202" s="129">
        <f t="shared" si="47"/>
        <v>2.0150000000000001</v>
      </c>
      <c r="K202" s="86">
        <f t="shared" ref="K202:K258" si="49">IF(G202&lt;&gt;"",I202/I201-1,"")</f>
        <v>0</v>
      </c>
      <c r="L202" s="87">
        <f t="shared" ref="L202:L258" si="50">IF(G202&lt;&gt;"",H202/1000,"")</f>
        <v>18288.120999999999</v>
      </c>
      <c r="M202" s="67">
        <f t="shared" ref="M202:M265" si="51">1+M201</f>
        <v>194</v>
      </c>
      <c r="N202" s="68">
        <f t="shared" si="42"/>
        <v>2.0150000000000001</v>
      </c>
      <c r="O202" s="92">
        <f t="shared" si="40"/>
        <v>34931.216581761662</v>
      </c>
      <c r="P202" s="61">
        <f t="shared" si="41"/>
        <v>72818.770609868865</v>
      </c>
      <c r="Q202" s="93">
        <f t="shared" si="43"/>
        <v>-46353.173644351591</v>
      </c>
      <c r="R202" s="61">
        <f t="shared" si="44"/>
        <v>68982.78337201121</v>
      </c>
      <c r="S202" s="100">
        <f t="shared" si="45"/>
        <v>2783.2737076787598</v>
      </c>
      <c r="T202" s="91">
        <f t="shared" ref="T202:T265" si="52">IF(AND(X&gt;0,ABS(X)-a*SV&gt;MDT),ABS(X)-a*SV,IF(AND(X&lt;0,ABS(X)-a*SV&gt;MDT),-ABS(X)+a*SV,0))</f>
        <v>1403.6180402385355</v>
      </c>
      <c r="U202" s="101"/>
      <c r="V202" s="61">
        <f t="shared" si="46"/>
        <v>24033.22776789817</v>
      </c>
      <c r="W202" s="61">
        <f t="shared" ref="W202:W265" si="53">$O$8*Price+$Q$8*(1+Int)^Mth</f>
        <v>25571.065989847721</v>
      </c>
    </row>
    <row r="203" spans="1:23" x14ac:dyDescent="0.25">
      <c r="A203" s="73">
        <f t="shared" si="48"/>
        <v>196</v>
      </c>
      <c r="C203" s="127">
        <v>46191.5</v>
      </c>
      <c r="D203" s="128">
        <v>2.0099999999999998</v>
      </c>
      <c r="E203" s="128">
        <v>2.0499999999999998</v>
      </c>
      <c r="F203" s="128">
        <v>2</v>
      </c>
      <c r="G203" s="128">
        <v>2.04</v>
      </c>
      <c r="H203" s="124">
        <v>22873283</v>
      </c>
      <c r="I203" s="129">
        <f t="shared" si="47"/>
        <v>2.04</v>
      </c>
      <c r="K203" s="86">
        <f t="shared" si="49"/>
        <v>1.2406947890818865E-2</v>
      </c>
      <c r="L203" s="87">
        <f t="shared" si="50"/>
        <v>22873.282999999999</v>
      </c>
      <c r="M203" s="67">
        <f t="shared" si="51"/>
        <v>195</v>
      </c>
      <c r="N203" s="68">
        <f t="shared" si="42"/>
        <v>2.04</v>
      </c>
      <c r="O203" s="92">
        <f t="shared" ref="O203:O266" si="54">O202+Y/Price</f>
        <v>34996.851457516168</v>
      </c>
      <c r="P203" s="61">
        <f t="shared" si="41"/>
        <v>72919.191969773266</v>
      </c>
      <c r="Q203" s="93">
        <f t="shared" si="43"/>
        <v>-46582.548739185739</v>
      </c>
      <c r="R203" s="61">
        <f t="shared" si="44"/>
        <v>71259.681826793792</v>
      </c>
      <c r="S203" s="100">
        <f t="shared" si="45"/>
        <v>1559.0887830750726</v>
      </c>
      <c r="T203" s="91">
        <f t="shared" si="52"/>
        <v>133.89514653919673</v>
      </c>
      <c r="U203" s="101"/>
      <c r="V203" s="61">
        <f t="shared" si="46"/>
        <v>24811.028234147241</v>
      </c>
      <c r="W203" s="61">
        <f t="shared" si="53"/>
        <v>25888.324873096448</v>
      </c>
    </row>
    <row r="204" spans="1:23" x14ac:dyDescent="0.25">
      <c r="A204" s="73">
        <f t="shared" si="48"/>
        <v>197</v>
      </c>
      <c r="C204" s="125">
        <v>46191.510416666657</v>
      </c>
      <c r="D204" s="126">
        <v>2.0299999999999998</v>
      </c>
      <c r="E204" s="126">
        <v>2.0499999999999998</v>
      </c>
      <c r="F204" s="126">
        <v>2.02</v>
      </c>
      <c r="G204" s="126">
        <v>2.0303</v>
      </c>
      <c r="H204" s="124">
        <v>16350348</v>
      </c>
      <c r="I204" s="129">
        <f t="shared" si="47"/>
        <v>2.0303</v>
      </c>
      <c r="K204" s="86">
        <f t="shared" si="49"/>
        <v>-4.754901960784319E-3</v>
      </c>
      <c r="L204" s="87">
        <f t="shared" si="50"/>
        <v>16350.348</v>
      </c>
      <c r="M204" s="67">
        <f t="shared" si="51"/>
        <v>196</v>
      </c>
      <c r="N204" s="68">
        <f t="shared" si="42"/>
        <v>2.0303</v>
      </c>
      <c r="O204" s="92">
        <f t="shared" si="54"/>
        <v>35215.539486523849</v>
      </c>
      <c r="P204" s="61">
        <f t="shared" si="41"/>
        <v>73252.193698743984</v>
      </c>
      <c r="Q204" s="93">
        <f t="shared" si="43"/>
        <v>-47122.503467914721</v>
      </c>
      <c r="R204" s="61">
        <f t="shared" si="44"/>
        <v>71054.107514195071</v>
      </c>
      <c r="S204" s="100">
        <f t="shared" si="45"/>
        <v>1865.084455578195</v>
      </c>
      <c r="T204" s="91">
        <f t="shared" si="52"/>
        <v>444.00230529429359</v>
      </c>
      <c r="U204" s="101"/>
      <c r="V204" s="61">
        <f t="shared" si="46"/>
        <v>24375.60635157465</v>
      </c>
      <c r="W204" s="61">
        <f t="shared" si="53"/>
        <v>25765.228426395941</v>
      </c>
    </row>
    <row r="205" spans="1:23" x14ac:dyDescent="0.25">
      <c r="A205" s="73">
        <f t="shared" si="48"/>
        <v>198</v>
      </c>
      <c r="C205" s="127">
        <v>46191.520833333343</v>
      </c>
      <c r="D205" s="128">
        <v>2.0379999999999998</v>
      </c>
      <c r="E205" s="128">
        <v>2.2174999999999998</v>
      </c>
      <c r="F205" s="128">
        <v>2.0350000000000001</v>
      </c>
      <c r="G205" s="128">
        <v>2.1798999999999999</v>
      </c>
      <c r="H205" s="124">
        <v>26782517</v>
      </c>
      <c r="I205" s="129">
        <f t="shared" si="47"/>
        <v>2.1798999999999999</v>
      </c>
      <c r="K205" s="86">
        <f t="shared" si="49"/>
        <v>7.368369206521197E-2</v>
      </c>
      <c r="L205" s="87">
        <f t="shared" si="50"/>
        <v>26782.517</v>
      </c>
      <c r="M205" s="67">
        <f t="shared" si="51"/>
        <v>197</v>
      </c>
      <c r="N205" s="68">
        <f t="shared" si="42"/>
        <v>2.1798999999999999</v>
      </c>
      <c r="O205" s="92">
        <f t="shared" si="54"/>
        <v>34307.775948106537</v>
      </c>
      <c r="P205" s="61">
        <f t="shared" ref="P205:P268" si="55">P204+b*IF(Y&gt;0,Y,0)</f>
        <v>73252.193698743984</v>
      </c>
      <c r="Q205" s="93">
        <f t="shared" si="43"/>
        <v>-45240.734372287829</v>
      </c>
      <c r="R205" s="61">
        <f t="shared" si="44"/>
        <v>76766.354526673342</v>
      </c>
      <c r="S205" s="100">
        <f t="shared" si="45"/>
        <v>-3514.1608279293578</v>
      </c>
      <c r="T205" s="91">
        <f t="shared" si="52"/>
        <v>-1978.8337373958909</v>
      </c>
      <c r="U205" s="101"/>
      <c r="V205" s="61">
        <f t="shared" si="46"/>
        <v>29546.786416989606</v>
      </c>
      <c r="W205" s="61">
        <f t="shared" si="53"/>
        <v>27663.705583756346</v>
      </c>
    </row>
    <row r="206" spans="1:23" x14ac:dyDescent="0.25">
      <c r="A206" s="73">
        <f t="shared" si="48"/>
        <v>199</v>
      </c>
      <c r="C206" s="125">
        <v>46191.53125</v>
      </c>
      <c r="D206" s="126">
        <v>2.1800000000000002</v>
      </c>
      <c r="E206" s="126">
        <v>2.4700000000000002</v>
      </c>
      <c r="F206" s="126">
        <v>2.15</v>
      </c>
      <c r="G206" s="126">
        <v>2.3199999999999998</v>
      </c>
      <c r="H206" s="124">
        <v>18178551</v>
      </c>
      <c r="I206" s="129">
        <f t="shared" si="47"/>
        <v>2.3199999999999998</v>
      </c>
      <c r="K206" s="86">
        <f t="shared" si="49"/>
        <v>6.4269003165282834E-2</v>
      </c>
      <c r="L206" s="87">
        <f t="shared" si="50"/>
        <v>18178.550999999999</v>
      </c>
      <c r="M206" s="67">
        <f t="shared" si="51"/>
        <v>198</v>
      </c>
      <c r="N206" s="68">
        <f t="shared" si="42"/>
        <v>2.3199999999999998</v>
      </c>
      <c r="O206" s="92">
        <f t="shared" si="54"/>
        <v>32260.37694083454</v>
      </c>
      <c r="P206" s="61">
        <f t="shared" si="55"/>
        <v>73252.193698743984</v>
      </c>
      <c r="Q206" s="93">
        <f t="shared" si="43"/>
        <v>-40583.957180951154</v>
      </c>
      <c r="R206" s="61">
        <f t="shared" si="44"/>
        <v>79594.04019960716</v>
      </c>
      <c r="S206" s="100">
        <f t="shared" si="45"/>
        <v>-6341.8465008631756</v>
      </c>
      <c r="T206" s="91">
        <f t="shared" si="52"/>
        <v>-4749.9656968710324</v>
      </c>
      <c r="U206" s="101"/>
      <c r="V206" s="61">
        <f t="shared" si="46"/>
        <v>34260.117321784972</v>
      </c>
      <c r="W206" s="61">
        <f t="shared" si="53"/>
        <v>29441.624365482236</v>
      </c>
    </row>
    <row r="207" spans="1:23" x14ac:dyDescent="0.25">
      <c r="A207" s="73">
        <f t="shared" si="48"/>
        <v>200</v>
      </c>
      <c r="C207" s="127">
        <v>46191.541666666657</v>
      </c>
      <c r="D207" s="128">
        <v>2.335</v>
      </c>
      <c r="E207" s="128">
        <v>2.5</v>
      </c>
      <c r="F207" s="128">
        <v>2.2000000000000002</v>
      </c>
      <c r="G207" s="128">
        <v>2.4300000000000002</v>
      </c>
      <c r="H207" s="124">
        <v>28513811</v>
      </c>
      <c r="I207" s="129">
        <f t="shared" si="47"/>
        <v>2.4300000000000002</v>
      </c>
      <c r="K207" s="86">
        <f t="shared" si="49"/>
        <v>4.7413793103448398E-2</v>
      </c>
      <c r="L207" s="87">
        <f t="shared" si="50"/>
        <v>28513.811000000002</v>
      </c>
      <c r="M207" s="67">
        <f t="shared" si="51"/>
        <v>199</v>
      </c>
      <c r="N207" s="68">
        <f t="shared" si="42"/>
        <v>2.4300000000000002</v>
      </c>
      <c r="O207" s="92">
        <f t="shared" si="54"/>
        <v>30790.143217312158</v>
      </c>
      <c r="P207" s="61">
        <f t="shared" si="55"/>
        <v>73252.193698743984</v>
      </c>
      <c r="Q207" s="93">
        <f t="shared" si="43"/>
        <v>-37094.88553976683</v>
      </c>
      <c r="R207" s="61">
        <f t="shared" si="44"/>
        <v>78392.71596622793</v>
      </c>
      <c r="S207" s="100">
        <f t="shared" si="45"/>
        <v>-5140.5222674839461</v>
      </c>
      <c r="T207" s="91">
        <f t="shared" si="52"/>
        <v>-3572.6679481593874</v>
      </c>
      <c r="U207" s="101"/>
      <c r="V207" s="61">
        <f t="shared" si="46"/>
        <v>37725.162478301711</v>
      </c>
      <c r="W207" s="61">
        <f t="shared" si="53"/>
        <v>30837.563451776656</v>
      </c>
    </row>
    <row r="208" spans="1:23" x14ac:dyDescent="0.25">
      <c r="A208" s="73">
        <f t="shared" si="48"/>
        <v>201</v>
      </c>
      <c r="C208" s="125">
        <v>46191.552083333343</v>
      </c>
      <c r="D208" s="126">
        <v>2.4350000000000001</v>
      </c>
      <c r="E208" s="126">
        <v>2.5</v>
      </c>
      <c r="F208" s="126">
        <v>2.13</v>
      </c>
      <c r="G208" s="126">
        <v>2.27</v>
      </c>
      <c r="H208" s="124">
        <v>14350716</v>
      </c>
      <c r="I208" s="129">
        <f t="shared" si="47"/>
        <v>2.27</v>
      </c>
      <c r="K208" s="86">
        <f t="shared" si="49"/>
        <v>-6.5843621399176988E-2</v>
      </c>
      <c r="L208" s="87">
        <f t="shared" si="50"/>
        <v>14350.716</v>
      </c>
      <c r="M208" s="67">
        <f t="shared" si="51"/>
        <v>200</v>
      </c>
      <c r="N208" s="68">
        <f t="shared" si="42"/>
        <v>2.27</v>
      </c>
      <c r="O208" s="92">
        <f t="shared" si="54"/>
        <v>31653.885989725994</v>
      </c>
      <c r="P208" s="61">
        <f t="shared" si="55"/>
        <v>74722.715768778537</v>
      </c>
      <c r="Q208" s="93">
        <f t="shared" si="43"/>
        <v>-39131.991023806717</v>
      </c>
      <c r="R208" s="61">
        <f t="shared" si="44"/>
        <v>69893.625103298604</v>
      </c>
      <c r="S208" s="100">
        <f t="shared" si="45"/>
        <v>3358.5685954453802</v>
      </c>
      <c r="T208" s="91">
        <f t="shared" si="52"/>
        <v>1960.696093379408</v>
      </c>
      <c r="U208" s="101"/>
      <c r="V208" s="61">
        <f t="shared" si="46"/>
        <v>32722.33017287129</v>
      </c>
      <c r="W208" s="61">
        <f t="shared" si="53"/>
        <v>28807.106598984774</v>
      </c>
    </row>
    <row r="209" spans="1:23" x14ac:dyDescent="0.25">
      <c r="A209" s="73">
        <f t="shared" si="48"/>
        <v>202</v>
      </c>
      <c r="C209" s="127">
        <v>46191.5625</v>
      </c>
      <c r="D209" s="128">
        <v>2.27</v>
      </c>
      <c r="E209" s="128">
        <v>2.2799999999999998</v>
      </c>
      <c r="F209" s="128">
        <v>2.165</v>
      </c>
      <c r="G209" s="128">
        <v>2.2000000000000002</v>
      </c>
      <c r="H209" s="124">
        <v>24600660</v>
      </c>
      <c r="I209" s="129">
        <f t="shared" si="47"/>
        <v>2.2000000000000002</v>
      </c>
      <c r="K209" s="86">
        <f t="shared" si="49"/>
        <v>-3.083700440528625E-2</v>
      </c>
      <c r="L209" s="87">
        <f t="shared" si="50"/>
        <v>24600.66</v>
      </c>
      <c r="M209" s="67">
        <f t="shared" si="51"/>
        <v>201</v>
      </c>
      <c r="N209" s="68">
        <f t="shared" si="42"/>
        <v>2.2000000000000002</v>
      </c>
      <c r="O209" s="92">
        <f t="shared" si="54"/>
        <v>33331.79308419572</v>
      </c>
      <c r="P209" s="61">
        <f t="shared" si="55"/>
        <v>77491.262474653588</v>
      </c>
      <c r="Q209" s="93">
        <f t="shared" si="43"/>
        <v>-42903.992126062119</v>
      </c>
      <c r="R209" s="61">
        <f t="shared" si="44"/>
        <v>69638.549177397188</v>
      </c>
      <c r="S209" s="100">
        <f t="shared" si="45"/>
        <v>5084.1665913813486</v>
      </c>
      <c r="T209" s="91">
        <f t="shared" si="52"/>
        <v>3691.3956078334049</v>
      </c>
      <c r="U209" s="101"/>
      <c r="V209" s="61">
        <f t="shared" si="46"/>
        <v>30425.95265916847</v>
      </c>
      <c r="W209" s="61">
        <f t="shared" si="53"/>
        <v>27918.78172588833</v>
      </c>
    </row>
    <row r="210" spans="1:23" x14ac:dyDescent="0.25">
      <c r="A210" s="73">
        <f t="shared" si="48"/>
        <v>203</v>
      </c>
      <c r="C210" s="125">
        <v>46191.572916666657</v>
      </c>
      <c r="D210" s="126">
        <v>2.2200000000000002</v>
      </c>
      <c r="E210" s="126">
        <v>2.25</v>
      </c>
      <c r="F210" s="126">
        <v>2.165</v>
      </c>
      <c r="G210" s="126">
        <v>2.1701000000000001</v>
      </c>
      <c r="H210" s="124">
        <v>17622334</v>
      </c>
      <c r="I210" s="129">
        <f t="shared" si="47"/>
        <v>2.1701000000000001</v>
      </c>
      <c r="K210" s="86">
        <f t="shared" si="49"/>
        <v>-1.3590909090909098E-2</v>
      </c>
      <c r="L210" s="87">
        <f t="shared" si="50"/>
        <v>17622.333999999999</v>
      </c>
      <c r="M210" s="67">
        <f t="shared" si="51"/>
        <v>202</v>
      </c>
      <c r="N210" s="68">
        <f t="shared" si="42"/>
        <v>2.1701000000000001</v>
      </c>
      <c r="O210" s="92">
        <f t="shared" si="54"/>
        <v>35041.977784993003</v>
      </c>
      <c r="P210" s="61">
        <f t="shared" si="55"/>
        <v>80274.716339053732</v>
      </c>
      <c r="Q210" s="93">
        <f t="shared" si="43"/>
        <v>-46703.639144364621</v>
      </c>
      <c r="R210" s="61">
        <f t="shared" si="44"/>
        <v>72333.324172013134</v>
      </c>
      <c r="S210" s="100">
        <f t="shared" si="45"/>
        <v>5157.9383026404539</v>
      </c>
      <c r="T210" s="91">
        <f t="shared" si="52"/>
        <v>3711.2718192001912</v>
      </c>
      <c r="U210" s="101"/>
      <c r="V210" s="61">
        <f t="shared" si="46"/>
        <v>29340.956846848705</v>
      </c>
      <c r="W210" s="61">
        <f t="shared" si="53"/>
        <v>27539.340101522848</v>
      </c>
    </row>
    <row r="211" spans="1:23" x14ac:dyDescent="0.25">
      <c r="A211" s="73">
        <f t="shared" si="48"/>
        <v>204</v>
      </c>
      <c r="C211" s="127">
        <v>46191.583333333343</v>
      </c>
      <c r="D211" s="128">
        <v>2.17</v>
      </c>
      <c r="E211" s="128">
        <v>2.2974999999999999</v>
      </c>
      <c r="F211" s="128">
        <v>2.145</v>
      </c>
      <c r="G211" s="128">
        <v>2.2199</v>
      </c>
      <c r="H211" s="124">
        <v>24812090</v>
      </c>
      <c r="I211" s="129">
        <f t="shared" si="47"/>
        <v>2.2199</v>
      </c>
      <c r="K211" s="86">
        <f t="shared" si="49"/>
        <v>2.2948251232661976E-2</v>
      </c>
      <c r="L211" s="87">
        <f t="shared" si="50"/>
        <v>24812.09</v>
      </c>
      <c r="M211" s="67">
        <f t="shared" si="51"/>
        <v>203</v>
      </c>
      <c r="N211" s="68">
        <f t="shared" si="42"/>
        <v>2.2199</v>
      </c>
      <c r="O211" s="92">
        <f t="shared" si="54"/>
        <v>35460.571471397641</v>
      </c>
      <c r="P211" s="61">
        <f t="shared" si="55"/>
        <v>80971.643432390963</v>
      </c>
      <c r="Q211" s="93">
        <f t="shared" si="43"/>
        <v>-47729.077118657478</v>
      </c>
      <c r="R211" s="61">
        <f t="shared" si="44"/>
        <v>77789.686484905964</v>
      </c>
      <c r="S211" s="100">
        <f t="shared" si="45"/>
        <v>2485.0298541477678</v>
      </c>
      <c r="T211" s="91">
        <f t="shared" si="52"/>
        <v>929.23612444964851</v>
      </c>
      <c r="U211" s="101"/>
      <c r="V211" s="61">
        <f t="shared" si="46"/>
        <v>30989.845490698142</v>
      </c>
      <c r="W211" s="61">
        <f t="shared" si="53"/>
        <v>28171.319796954318</v>
      </c>
    </row>
    <row r="212" spans="1:23" x14ac:dyDescent="0.25">
      <c r="A212" s="73">
        <f t="shared" si="48"/>
        <v>205</v>
      </c>
      <c r="C212" s="125">
        <v>46191.59375</v>
      </c>
      <c r="D212" s="126">
        <v>2.21</v>
      </c>
      <c r="E212" s="126">
        <v>2.31</v>
      </c>
      <c r="F212" s="126">
        <v>2.1800000000000002</v>
      </c>
      <c r="G212" s="126">
        <v>2.2749999999999999</v>
      </c>
      <c r="H212" s="124">
        <v>12682113</v>
      </c>
      <c r="I212" s="129">
        <f t="shared" si="47"/>
        <v>2.2749999999999999</v>
      </c>
      <c r="K212" s="86">
        <f t="shared" si="49"/>
        <v>2.4820937880084548E-2</v>
      </c>
      <c r="L212" s="87">
        <f t="shared" si="50"/>
        <v>12682.112999999999</v>
      </c>
      <c r="M212" s="67">
        <f t="shared" si="51"/>
        <v>204</v>
      </c>
      <c r="N212" s="68">
        <f t="shared" si="42"/>
        <v>2.2749999999999999</v>
      </c>
      <c r="O212" s="92">
        <f t="shared" si="54"/>
        <v>35460.571471397641</v>
      </c>
      <c r="P212" s="61">
        <f t="shared" si="55"/>
        <v>80971.643432390963</v>
      </c>
      <c r="Q212" s="93">
        <f t="shared" si="43"/>
        <v>-47827.391202832609</v>
      </c>
      <c r="R212" s="61">
        <f t="shared" si="44"/>
        <v>80672.80009742963</v>
      </c>
      <c r="S212" s="100">
        <f t="shared" si="45"/>
        <v>298.84333496133331</v>
      </c>
      <c r="T212" s="91">
        <f t="shared" si="52"/>
        <v>0</v>
      </c>
      <c r="U212" s="101"/>
      <c r="V212" s="61">
        <f t="shared" si="46"/>
        <v>32845.408894597022</v>
      </c>
      <c r="W212" s="61">
        <f t="shared" si="53"/>
        <v>28870.558375634519</v>
      </c>
    </row>
    <row r="213" spans="1:23" x14ac:dyDescent="0.25">
      <c r="A213" s="73">
        <f t="shared" si="48"/>
        <v>206</v>
      </c>
      <c r="C213" s="127">
        <v>46191.604166666657</v>
      </c>
      <c r="D213" s="128">
        <v>2.2700999999999998</v>
      </c>
      <c r="E213" s="128">
        <v>2.34</v>
      </c>
      <c r="F213" s="128">
        <v>2.2599999999999998</v>
      </c>
      <c r="G213" s="128">
        <v>2.2949999999999999</v>
      </c>
      <c r="H213" s="124">
        <v>27361318</v>
      </c>
      <c r="I213" s="129">
        <f t="shared" si="47"/>
        <v>2.2949999999999999</v>
      </c>
      <c r="K213" s="86">
        <f t="shared" si="49"/>
        <v>8.79120879120876E-3</v>
      </c>
      <c r="L213" s="87">
        <f t="shared" si="50"/>
        <v>27361.317999999999</v>
      </c>
      <c r="M213" s="67">
        <f t="shared" si="51"/>
        <v>205</v>
      </c>
      <c r="N213" s="68">
        <f t="shared" si="42"/>
        <v>2.2949999999999999</v>
      </c>
      <c r="O213" s="92">
        <f t="shared" si="54"/>
        <v>35460.571471397641</v>
      </c>
      <c r="P213" s="61">
        <f t="shared" si="55"/>
        <v>80971.643432390963</v>
      </c>
      <c r="Q213" s="93">
        <f t="shared" si="43"/>
        <v>-47925.907797924163</v>
      </c>
      <c r="R213" s="61">
        <f t="shared" si="44"/>
        <v>81382.01152685759</v>
      </c>
      <c r="S213" s="100">
        <f t="shared" si="45"/>
        <v>-410.36809446662664</v>
      </c>
      <c r="T213" s="91">
        <f t="shared" si="52"/>
        <v>0</v>
      </c>
      <c r="U213" s="101"/>
      <c r="V213" s="61">
        <f t="shared" si="46"/>
        <v>33456.103728933427</v>
      </c>
      <c r="W213" s="61">
        <f t="shared" si="53"/>
        <v>29124.365482233505</v>
      </c>
    </row>
    <row r="214" spans="1:23" x14ac:dyDescent="0.25">
      <c r="A214" s="73">
        <f t="shared" si="48"/>
        <v>207</v>
      </c>
      <c r="C214" s="125">
        <v>46191.614583333343</v>
      </c>
      <c r="D214" s="126">
        <v>2.2900999999999998</v>
      </c>
      <c r="E214" s="126">
        <v>2.4300000000000002</v>
      </c>
      <c r="F214" s="126">
        <v>2.23</v>
      </c>
      <c r="G214" s="126">
        <v>2.2801</v>
      </c>
      <c r="H214" s="124">
        <v>17714913</v>
      </c>
      <c r="I214" s="129">
        <f t="shared" si="47"/>
        <v>2.2801</v>
      </c>
      <c r="K214" s="86">
        <f t="shared" si="49"/>
        <v>-6.4923747276688371E-3</v>
      </c>
      <c r="L214" s="87">
        <f t="shared" si="50"/>
        <v>17714.913</v>
      </c>
      <c r="M214" s="67">
        <f t="shared" si="51"/>
        <v>206</v>
      </c>
      <c r="N214" s="68">
        <f t="shared" si="42"/>
        <v>2.2801</v>
      </c>
      <c r="O214" s="92">
        <f t="shared" si="54"/>
        <v>35460.571471397641</v>
      </c>
      <c r="P214" s="61">
        <f t="shared" si="55"/>
        <v>80971.643432390963</v>
      </c>
      <c r="Q214" s="93">
        <f t="shared" si="43"/>
        <v>-48024.627321071464</v>
      </c>
      <c r="R214" s="61">
        <f t="shared" si="44"/>
        <v>80853.649011933769</v>
      </c>
      <c r="S214" s="100">
        <f t="shared" si="45"/>
        <v>117.99442045719479</v>
      </c>
      <c r="T214" s="91">
        <f t="shared" si="52"/>
        <v>0</v>
      </c>
      <c r="U214" s="101"/>
      <c r="V214" s="61">
        <f t="shared" si="46"/>
        <v>32829.021690862304</v>
      </c>
      <c r="W214" s="61">
        <f t="shared" si="53"/>
        <v>28935.279187817261</v>
      </c>
    </row>
    <row r="215" spans="1:23" x14ac:dyDescent="0.25">
      <c r="A215" s="73">
        <f t="shared" si="48"/>
        <v>208</v>
      </c>
      <c r="C215" s="127">
        <v>46191.625</v>
      </c>
      <c r="D215" s="128">
        <v>2.29</v>
      </c>
      <c r="E215" s="128">
        <v>2.31</v>
      </c>
      <c r="F215" s="128">
        <v>2.2200000000000002</v>
      </c>
      <c r="G215" s="128">
        <v>2.27</v>
      </c>
      <c r="H215" s="124">
        <v>46681048</v>
      </c>
      <c r="I215" s="129">
        <f t="shared" si="47"/>
        <v>2.27</v>
      </c>
      <c r="K215" s="86">
        <f t="shared" si="49"/>
        <v>-4.4296302793737086E-3</v>
      </c>
      <c r="L215" s="87">
        <f t="shared" si="50"/>
        <v>46681.048000000003</v>
      </c>
      <c r="M215" s="67">
        <f t="shared" si="51"/>
        <v>207</v>
      </c>
      <c r="N215" s="68">
        <f t="shared" si="42"/>
        <v>2.27</v>
      </c>
      <c r="O215" s="92">
        <f t="shared" si="54"/>
        <v>35460.571471397641</v>
      </c>
      <c r="P215" s="61">
        <f t="shared" si="55"/>
        <v>80971.643432390963</v>
      </c>
      <c r="Q215" s="93">
        <f t="shared" si="43"/>
        <v>-48123.55019027309</v>
      </c>
      <c r="R215" s="61">
        <f t="shared" si="44"/>
        <v>80495.49724007264</v>
      </c>
      <c r="S215" s="100">
        <f t="shared" si="45"/>
        <v>476.1461923183233</v>
      </c>
      <c r="T215" s="91">
        <f t="shared" si="52"/>
        <v>0</v>
      </c>
      <c r="U215" s="101"/>
      <c r="V215" s="61">
        <f t="shared" si="46"/>
        <v>32371.94704979955</v>
      </c>
      <c r="W215" s="61">
        <f t="shared" si="53"/>
        <v>28807.106598984774</v>
      </c>
    </row>
    <row r="216" spans="1:23" x14ac:dyDescent="0.25">
      <c r="A216" s="73">
        <f t="shared" si="48"/>
        <v>209</v>
      </c>
      <c r="C216" s="125">
        <v>46191.635416666657</v>
      </c>
      <c r="D216" s="126">
        <v>2.2549999999999999</v>
      </c>
      <c r="E216" s="126">
        <v>2.2799999999999998</v>
      </c>
      <c r="F216" s="126">
        <v>2.2000000000000002</v>
      </c>
      <c r="G216" s="126">
        <v>2.2200000000000002</v>
      </c>
      <c r="H216" s="124">
        <v>19249377</v>
      </c>
      <c r="I216" s="129">
        <f t="shared" si="47"/>
        <v>2.2200000000000002</v>
      </c>
      <c r="K216" s="86">
        <f t="shared" si="49"/>
        <v>-2.2026431718061623E-2</v>
      </c>
      <c r="L216" s="87">
        <f t="shared" si="50"/>
        <v>19249.377</v>
      </c>
      <c r="M216" s="67">
        <f t="shared" si="51"/>
        <v>208</v>
      </c>
      <c r="N216" s="68">
        <f t="shared" si="42"/>
        <v>2.2200000000000002</v>
      </c>
      <c r="O216" s="92">
        <f t="shared" si="54"/>
        <v>35764.50182840581</v>
      </c>
      <c r="P216" s="61">
        <f t="shared" si="55"/>
        <v>81477.687476809573</v>
      </c>
      <c r="Q216" s="93">
        <f t="shared" si="43"/>
        <v>-48897.40221694675</v>
      </c>
      <c r="R216" s="61">
        <f t="shared" si="44"/>
        <v>78722.468666502769</v>
      </c>
      <c r="S216" s="100">
        <f t="shared" si="45"/>
        <v>2249.1747658881941</v>
      </c>
      <c r="T216" s="91">
        <f t="shared" si="52"/>
        <v>674.72539255813876</v>
      </c>
      <c r="U216" s="101"/>
      <c r="V216" s="61">
        <f t="shared" si="46"/>
        <v>30499.791842114151</v>
      </c>
      <c r="W216" s="61">
        <f t="shared" si="53"/>
        <v>28172.588832487316</v>
      </c>
    </row>
    <row r="217" spans="1:23" x14ac:dyDescent="0.25">
      <c r="A217" s="73">
        <f t="shared" si="48"/>
        <v>210</v>
      </c>
      <c r="C217" s="127">
        <v>46191.645833333343</v>
      </c>
      <c r="D217" s="128">
        <v>2.23</v>
      </c>
      <c r="E217" s="128">
        <v>2.2999999999999998</v>
      </c>
      <c r="F217" s="128">
        <v>2.21</v>
      </c>
      <c r="G217" s="128">
        <v>2.27</v>
      </c>
      <c r="H217" s="124">
        <v>29415089</v>
      </c>
      <c r="I217" s="129">
        <f t="shared" si="47"/>
        <v>2.27</v>
      </c>
      <c r="K217" s="86">
        <f t="shared" si="49"/>
        <v>2.2522522522522515E-2</v>
      </c>
      <c r="L217" s="87">
        <f t="shared" si="50"/>
        <v>29415.089</v>
      </c>
      <c r="M217" s="67">
        <f t="shared" si="51"/>
        <v>209</v>
      </c>
      <c r="N217" s="68">
        <f t="shared" si="42"/>
        <v>2.27</v>
      </c>
      <c r="O217" s="92">
        <f t="shared" si="54"/>
        <v>35764.50182840581</v>
      </c>
      <c r="P217" s="61">
        <f t="shared" si="55"/>
        <v>81477.687476809573</v>
      </c>
      <c r="Q217" s="93">
        <f t="shared" si="43"/>
        <v>-48998.122859534305</v>
      </c>
      <c r="R217" s="61">
        <f t="shared" si="44"/>
        <v>81185.41915048119</v>
      </c>
      <c r="S217" s="100">
        <f t="shared" si="45"/>
        <v>292.26832632838341</v>
      </c>
      <c r="T217" s="91">
        <f t="shared" si="52"/>
        <v>0</v>
      </c>
      <c r="U217" s="101"/>
      <c r="V217" s="61">
        <f t="shared" si="46"/>
        <v>32187.296290946884</v>
      </c>
      <c r="W217" s="61">
        <f t="shared" si="53"/>
        <v>28807.106598984774</v>
      </c>
    </row>
    <row r="218" spans="1:23" x14ac:dyDescent="0.25">
      <c r="A218" s="73">
        <f t="shared" si="48"/>
        <v>211</v>
      </c>
      <c r="C218" s="125">
        <v>46191.65625</v>
      </c>
      <c r="D218" s="126">
        <v>2.2599999999999998</v>
      </c>
      <c r="E218" s="126">
        <v>2.3199999999999998</v>
      </c>
      <c r="F218" s="126">
        <v>2.25</v>
      </c>
      <c r="G218" s="126">
        <v>2.27</v>
      </c>
      <c r="H218" s="124">
        <v>21152365</v>
      </c>
      <c r="I218" s="129">
        <f t="shared" si="47"/>
        <v>2.27</v>
      </c>
      <c r="K218" s="86">
        <f t="shared" si="49"/>
        <v>0</v>
      </c>
      <c r="L218" s="87">
        <f t="shared" si="50"/>
        <v>21152.365000000002</v>
      </c>
      <c r="M218" s="67">
        <f t="shared" si="51"/>
        <v>210</v>
      </c>
      <c r="N218" s="68">
        <f t="shared" si="42"/>
        <v>2.27</v>
      </c>
      <c r="O218" s="92">
        <f t="shared" si="54"/>
        <v>35764.50182840581</v>
      </c>
      <c r="P218" s="61">
        <f t="shared" si="55"/>
        <v>81477.687476809573</v>
      </c>
      <c r="Q218" s="93">
        <f t="shared" si="43"/>
        <v>-49099.050970154582</v>
      </c>
      <c r="R218" s="61">
        <f t="shared" si="44"/>
        <v>81185.41915048119</v>
      </c>
      <c r="S218" s="100">
        <f t="shared" si="45"/>
        <v>292.26832632838341</v>
      </c>
      <c r="T218" s="91">
        <f t="shared" si="52"/>
        <v>0</v>
      </c>
      <c r="U218" s="101"/>
      <c r="V218" s="61">
        <f t="shared" si="46"/>
        <v>32086.368180326608</v>
      </c>
      <c r="W218" s="61">
        <f t="shared" si="53"/>
        <v>28807.106598984774</v>
      </c>
    </row>
    <row r="219" spans="1:23" x14ac:dyDescent="0.25">
      <c r="A219" s="73">
        <f t="shared" si="48"/>
        <v>212</v>
      </c>
      <c r="C219" s="127">
        <v>46191.666666666657</v>
      </c>
      <c r="D219" s="128">
        <v>2.2599999999999998</v>
      </c>
      <c r="E219" s="128">
        <v>2.2999999999999998</v>
      </c>
      <c r="F219" s="128">
        <v>2.19</v>
      </c>
      <c r="G219" s="128">
        <v>2.2200000000000002</v>
      </c>
      <c r="H219" s="124">
        <v>25401045</v>
      </c>
      <c r="I219" s="129">
        <f t="shared" si="47"/>
        <v>2.2200000000000002</v>
      </c>
      <c r="K219" s="86">
        <f t="shared" si="49"/>
        <v>-2.2026431718061623E-2</v>
      </c>
      <c r="L219" s="87">
        <f t="shared" si="50"/>
        <v>25401.044999999998</v>
      </c>
      <c r="M219" s="67">
        <f t="shared" si="51"/>
        <v>211</v>
      </c>
      <c r="N219" s="68">
        <f t="shared" si="42"/>
        <v>2.2200000000000002</v>
      </c>
      <c r="O219" s="92">
        <f t="shared" si="54"/>
        <v>35986.37098902178</v>
      </c>
      <c r="P219" s="61">
        <f t="shared" si="55"/>
        <v>81847.099629235163</v>
      </c>
      <c r="Q219" s="93">
        <f t="shared" si="43"/>
        <v>-49692.736512725212</v>
      </c>
      <c r="R219" s="61">
        <f t="shared" si="44"/>
        <v>79397.194059060901</v>
      </c>
      <c r="S219" s="100">
        <f t="shared" si="45"/>
        <v>2080.4934177486721</v>
      </c>
      <c r="T219" s="91">
        <f t="shared" si="52"/>
        <v>492.54953656745397</v>
      </c>
      <c r="U219" s="101"/>
      <c r="V219" s="61">
        <f t="shared" si="46"/>
        <v>30197.007082903147</v>
      </c>
      <c r="W219" s="61">
        <f t="shared" si="53"/>
        <v>28172.588832487316</v>
      </c>
    </row>
    <row r="220" spans="1:23" x14ac:dyDescent="0.25">
      <c r="A220" s="73">
        <f t="shared" si="48"/>
        <v>213</v>
      </c>
      <c r="C220" s="125">
        <v>46191.677083333343</v>
      </c>
      <c r="D220" s="126">
        <v>2.2113</v>
      </c>
      <c r="E220" s="126">
        <v>2.3199999999999998</v>
      </c>
      <c r="F220" s="126">
        <v>2.2000000000000002</v>
      </c>
      <c r="G220" s="126">
        <v>2.2515000000000001</v>
      </c>
      <c r="H220" s="124">
        <v>19668940</v>
      </c>
      <c r="I220" s="129">
        <f t="shared" si="47"/>
        <v>2.2515000000000001</v>
      </c>
      <c r="K220" s="86">
        <f t="shared" si="49"/>
        <v>1.4189189189189211E-2</v>
      </c>
      <c r="L220" s="87">
        <f t="shared" si="50"/>
        <v>19668.939999999999</v>
      </c>
      <c r="M220" s="67">
        <f t="shared" si="51"/>
        <v>212</v>
      </c>
      <c r="N220" s="68">
        <f t="shared" si="42"/>
        <v>2.2515000000000001</v>
      </c>
      <c r="O220" s="92">
        <f t="shared" si="54"/>
        <v>35986.37098902178</v>
      </c>
      <c r="P220" s="61">
        <f t="shared" si="55"/>
        <v>81847.099629235163</v>
      </c>
      <c r="Q220" s="93">
        <f t="shared" si="43"/>
        <v>-49795.095413741859</v>
      </c>
      <c r="R220" s="61">
        <f t="shared" si="44"/>
        <v>81023.314281782543</v>
      </c>
      <c r="S220" s="100">
        <f t="shared" si="45"/>
        <v>823.78534745262004</v>
      </c>
      <c r="T220" s="91">
        <f t="shared" si="52"/>
        <v>0</v>
      </c>
      <c r="U220" s="101"/>
      <c r="V220" s="61">
        <f t="shared" si="46"/>
        <v>31228.218868040683</v>
      </c>
      <c r="W220" s="61">
        <f t="shared" si="53"/>
        <v>28572.335025380715</v>
      </c>
    </row>
    <row r="221" spans="1:23" x14ac:dyDescent="0.25">
      <c r="A221" s="73">
        <f t="shared" si="48"/>
        <v>214</v>
      </c>
      <c r="C221" s="127">
        <v>46191.6875</v>
      </c>
      <c r="D221" s="128">
        <v>2.29</v>
      </c>
      <c r="E221" s="128">
        <v>2.4</v>
      </c>
      <c r="F221" s="128">
        <v>2.2599999999999998</v>
      </c>
      <c r="G221" s="128">
        <v>2.34</v>
      </c>
      <c r="H221" s="124">
        <v>30229719</v>
      </c>
      <c r="I221" s="129">
        <f t="shared" si="47"/>
        <v>2.34</v>
      </c>
      <c r="K221" s="86">
        <f t="shared" si="49"/>
        <v>3.9307128580945871E-2</v>
      </c>
      <c r="L221" s="87">
        <f t="shared" si="50"/>
        <v>30229.719000000001</v>
      </c>
      <c r="M221" s="67">
        <f t="shared" si="51"/>
        <v>213</v>
      </c>
      <c r="N221" s="68">
        <f t="shared" si="42"/>
        <v>2.34</v>
      </c>
      <c r="O221" s="92">
        <f t="shared" si="54"/>
        <v>35697.120423727087</v>
      </c>
      <c r="P221" s="61">
        <f t="shared" si="55"/>
        <v>81847.099629235163</v>
      </c>
      <c r="Q221" s="93">
        <f t="shared" si="43"/>
        <v>-49220.818834545789</v>
      </c>
      <c r="R221" s="61">
        <f t="shared" si="44"/>
        <v>84208.108114310962</v>
      </c>
      <c r="S221" s="100">
        <f t="shared" si="45"/>
        <v>-2361.0084850757994</v>
      </c>
      <c r="T221" s="91">
        <f t="shared" si="52"/>
        <v>-676.8463227895802</v>
      </c>
      <c r="U221" s="101"/>
      <c r="V221" s="61">
        <f t="shared" si="46"/>
        <v>34310.442956975588</v>
      </c>
      <c r="W221" s="61">
        <f t="shared" si="53"/>
        <v>29695.431472081218</v>
      </c>
    </row>
    <row r="222" spans="1:23" x14ac:dyDescent="0.25">
      <c r="A222" s="73">
        <f t="shared" si="48"/>
        <v>215</v>
      </c>
      <c r="C222" s="125">
        <v>46191.697916666657</v>
      </c>
      <c r="D222" s="126">
        <v>2.3199999999999998</v>
      </c>
      <c r="E222" s="126">
        <v>2.38</v>
      </c>
      <c r="F222" s="126">
        <v>2.25</v>
      </c>
      <c r="G222" s="126">
        <v>2.27</v>
      </c>
      <c r="H222" s="124">
        <v>16059814</v>
      </c>
      <c r="I222" s="129">
        <f t="shared" si="47"/>
        <v>2.27</v>
      </c>
      <c r="K222" s="86">
        <f t="shared" si="49"/>
        <v>-2.9914529914529808E-2</v>
      </c>
      <c r="L222" s="87">
        <f t="shared" si="50"/>
        <v>16059.814</v>
      </c>
      <c r="M222" s="67">
        <f t="shared" si="51"/>
        <v>214</v>
      </c>
      <c r="N222" s="68">
        <f t="shared" si="42"/>
        <v>2.27</v>
      </c>
      <c r="O222" s="92">
        <f t="shared" si="54"/>
        <v>35697.120423727087</v>
      </c>
      <c r="P222" s="61">
        <f t="shared" si="55"/>
        <v>81847.099629235163</v>
      </c>
      <c r="Q222" s="93">
        <f t="shared" si="43"/>
        <v>-49322.205662412547</v>
      </c>
      <c r="R222" s="61">
        <f t="shared" si="44"/>
        <v>81032.463361860486</v>
      </c>
      <c r="S222" s="100">
        <f t="shared" si="45"/>
        <v>814.63626737467712</v>
      </c>
      <c r="T222" s="91">
        <f t="shared" si="52"/>
        <v>0</v>
      </c>
      <c r="U222" s="101"/>
      <c r="V222" s="61">
        <f t="shared" si="46"/>
        <v>31710.257699447939</v>
      </c>
      <c r="W222" s="61">
        <f t="shared" si="53"/>
        <v>28807.106598984774</v>
      </c>
    </row>
    <row r="223" spans="1:23" x14ac:dyDescent="0.25">
      <c r="A223" s="73">
        <f t="shared" si="48"/>
        <v>216</v>
      </c>
      <c r="C223" s="127">
        <v>46191.708333333343</v>
      </c>
      <c r="D223" s="128">
        <v>2.27</v>
      </c>
      <c r="E223" s="128">
        <v>2.3448000000000002</v>
      </c>
      <c r="F223" s="128">
        <v>2.27</v>
      </c>
      <c r="G223" s="128">
        <v>2.31</v>
      </c>
      <c r="H223" s="124">
        <v>27825878</v>
      </c>
      <c r="I223" s="129">
        <f t="shared" si="47"/>
        <v>2.31</v>
      </c>
      <c r="K223" s="86">
        <f t="shared" si="49"/>
        <v>1.7621145374449254E-2</v>
      </c>
      <c r="L223" s="87">
        <f t="shared" si="50"/>
        <v>27825.878000000001</v>
      </c>
      <c r="M223" s="67">
        <f t="shared" si="51"/>
        <v>215</v>
      </c>
      <c r="N223" s="68">
        <f t="shared" si="42"/>
        <v>2.31</v>
      </c>
      <c r="O223" s="92">
        <f t="shared" si="54"/>
        <v>35697.120423727087</v>
      </c>
      <c r="P223" s="61">
        <f t="shared" si="55"/>
        <v>81847.099629235163</v>
      </c>
      <c r="Q223" s="93">
        <f t="shared" si="43"/>
        <v>-49423.801330544629</v>
      </c>
      <c r="R223" s="61">
        <f t="shared" si="44"/>
        <v>82460.348178809567</v>
      </c>
      <c r="S223" s="100">
        <f t="shared" si="45"/>
        <v>-613.24854957440402</v>
      </c>
      <c r="T223" s="91">
        <f t="shared" si="52"/>
        <v>0</v>
      </c>
      <c r="U223" s="101"/>
      <c r="V223" s="61">
        <f t="shared" si="46"/>
        <v>33036.546848264938</v>
      </c>
      <c r="W223" s="61">
        <f t="shared" si="53"/>
        <v>29314.720812182743</v>
      </c>
    </row>
    <row r="224" spans="1:23" x14ac:dyDescent="0.25">
      <c r="A224" s="73">
        <f t="shared" si="48"/>
        <v>217</v>
      </c>
      <c r="C224" s="125">
        <v>46191.71875</v>
      </c>
      <c r="D224" s="126">
        <v>2.33</v>
      </c>
      <c r="E224" s="126">
        <v>2.3597000000000001</v>
      </c>
      <c r="F224" s="126">
        <v>2.2999999999999998</v>
      </c>
      <c r="G224" s="126">
        <v>2.3325999999999998</v>
      </c>
      <c r="H224" s="124">
        <v>19228487</v>
      </c>
      <c r="I224" s="129">
        <f t="shared" si="47"/>
        <v>2.3325999999999998</v>
      </c>
      <c r="K224" s="86">
        <f t="shared" si="49"/>
        <v>9.7835497835496721E-3</v>
      </c>
      <c r="L224" s="87">
        <f t="shared" si="50"/>
        <v>19228.487000000001</v>
      </c>
      <c r="M224" s="67">
        <f t="shared" si="51"/>
        <v>216</v>
      </c>
      <c r="N224" s="68">
        <f t="shared" si="42"/>
        <v>2.3325999999999998</v>
      </c>
      <c r="O224" s="92">
        <f t="shared" si="54"/>
        <v>35697.120423727087</v>
      </c>
      <c r="P224" s="61">
        <f t="shared" si="55"/>
        <v>81847.099629235163</v>
      </c>
      <c r="Q224" s="93">
        <f t="shared" si="43"/>
        <v>-49525.606269118784</v>
      </c>
      <c r="R224" s="61">
        <f t="shared" si="44"/>
        <v>83267.103100385793</v>
      </c>
      <c r="S224" s="100">
        <f t="shared" si="45"/>
        <v>-1420.0034711506305</v>
      </c>
      <c r="T224" s="91">
        <f t="shared" si="52"/>
        <v>0</v>
      </c>
      <c r="U224" s="101"/>
      <c r="V224" s="61">
        <f t="shared" si="46"/>
        <v>33741.49683126701</v>
      </c>
      <c r="W224" s="61">
        <f t="shared" si="53"/>
        <v>29601.522842639595</v>
      </c>
    </row>
    <row r="225" spans="1:23" x14ac:dyDescent="0.25">
      <c r="A225" s="73">
        <f t="shared" si="48"/>
        <v>218</v>
      </c>
      <c r="C225" s="127">
        <v>46191.729166666657</v>
      </c>
      <c r="D225" s="128">
        <v>2.3306</v>
      </c>
      <c r="E225" s="128">
        <v>2.39</v>
      </c>
      <c r="F225" s="128">
        <v>2.3306</v>
      </c>
      <c r="G225" s="128">
        <v>2.34</v>
      </c>
      <c r="H225" s="124">
        <v>26209994</v>
      </c>
      <c r="I225" s="129">
        <f t="shared" si="47"/>
        <v>2.34</v>
      </c>
      <c r="K225" s="86">
        <f t="shared" si="49"/>
        <v>3.1724256194805012E-3</v>
      </c>
      <c r="L225" s="87">
        <f t="shared" si="50"/>
        <v>26209.993999999999</v>
      </c>
      <c r="M225" s="67">
        <f t="shared" si="51"/>
        <v>217</v>
      </c>
      <c r="N225" s="68">
        <f t="shared" ref="N225:N258" si="56">I225</f>
        <v>2.34</v>
      </c>
      <c r="O225" s="92">
        <f t="shared" si="54"/>
        <v>35697.120423727087</v>
      </c>
      <c r="P225" s="61">
        <f t="shared" si="55"/>
        <v>81847.099629235163</v>
      </c>
      <c r="Q225" s="93">
        <f t="shared" ref="Q225:Q258" si="57">Q224*(1+Int)-T225</f>
        <v>-49627.620909197867</v>
      </c>
      <c r="R225" s="61">
        <f t="shared" ref="R225:R258" si="58">Price*O224</f>
        <v>83531.261791521378</v>
      </c>
      <c r="S225" s="100">
        <f t="shared" ref="S225:S258" si="59">P224-SV</f>
        <v>-1684.1621622862149</v>
      </c>
      <c r="T225" s="91">
        <f t="shared" si="52"/>
        <v>0</v>
      </c>
      <c r="U225" s="101"/>
      <c r="V225" s="61">
        <f t="shared" si="46"/>
        <v>33903.640882323511</v>
      </c>
      <c r="W225" s="61">
        <f t="shared" si="53"/>
        <v>29695.431472081218</v>
      </c>
    </row>
    <row r="226" spans="1:23" x14ac:dyDescent="0.25">
      <c r="A226" s="73">
        <f t="shared" si="48"/>
        <v>219</v>
      </c>
      <c r="C226" s="125">
        <v>46191.739583333343</v>
      </c>
      <c r="D226" s="126">
        <v>2.34</v>
      </c>
      <c r="E226" s="126">
        <v>2.37</v>
      </c>
      <c r="F226" s="126">
        <v>2.31</v>
      </c>
      <c r="G226" s="126">
        <v>2.37</v>
      </c>
      <c r="H226" s="124">
        <v>14669898</v>
      </c>
      <c r="I226" s="129">
        <f t="shared" si="47"/>
        <v>2.37</v>
      </c>
      <c r="K226" s="86">
        <f t="shared" si="49"/>
        <v>1.2820512820512997E-2</v>
      </c>
      <c r="L226" s="87">
        <f t="shared" si="50"/>
        <v>14669.897999999999</v>
      </c>
      <c r="M226" s="67">
        <f t="shared" si="51"/>
        <v>218</v>
      </c>
      <c r="N226" s="68">
        <f t="shared" si="56"/>
        <v>2.37</v>
      </c>
      <c r="O226" s="92">
        <f t="shared" si="54"/>
        <v>35248.583602244653</v>
      </c>
      <c r="P226" s="61">
        <f t="shared" si="55"/>
        <v>81847.099629235163</v>
      </c>
      <c r="Q226" s="93">
        <f t="shared" si="57"/>
        <v>-48666.813415819262</v>
      </c>
      <c r="R226" s="61">
        <f t="shared" si="58"/>
        <v>84602.175404233203</v>
      </c>
      <c r="S226" s="100">
        <f t="shared" si="59"/>
        <v>-2755.0757749980403</v>
      </c>
      <c r="T226" s="91">
        <f t="shared" si="52"/>
        <v>-1063.0322669133761</v>
      </c>
      <c r="U226" s="101"/>
      <c r="V226" s="61">
        <f t="shared" si="46"/>
        <v>34872.329721500566</v>
      </c>
      <c r="W226" s="61">
        <f t="shared" si="53"/>
        <v>30076.142131979701</v>
      </c>
    </row>
    <row r="227" spans="1:23" x14ac:dyDescent="0.25">
      <c r="A227" s="73">
        <f t="shared" si="48"/>
        <v>220</v>
      </c>
      <c r="C227" s="127">
        <v>46191.75</v>
      </c>
      <c r="D227" s="128">
        <v>2.36</v>
      </c>
      <c r="E227" s="128">
        <v>2.37</v>
      </c>
      <c r="F227" s="128">
        <v>2.35</v>
      </c>
      <c r="G227" s="128">
        <v>2.35</v>
      </c>
      <c r="H227" s="124">
        <v>43550401</v>
      </c>
      <c r="I227" s="129">
        <f t="shared" si="47"/>
        <v>2.35</v>
      </c>
      <c r="K227" s="86">
        <f t="shared" si="49"/>
        <v>-8.4388185654008518E-3</v>
      </c>
      <c r="L227" s="87">
        <f t="shared" si="50"/>
        <v>43550.400999999998</v>
      </c>
      <c r="M227" s="67">
        <f t="shared" si="51"/>
        <v>219</v>
      </c>
      <c r="N227" s="68">
        <f t="shared" si="56"/>
        <v>2.35</v>
      </c>
      <c r="O227" s="92">
        <f t="shared" si="54"/>
        <v>35248.583602244653</v>
      </c>
      <c r="P227" s="61">
        <f t="shared" si="55"/>
        <v>81847.099629235163</v>
      </c>
      <c r="Q227" s="93">
        <f t="shared" si="57"/>
        <v>-48767.059083230837</v>
      </c>
      <c r="R227" s="61">
        <f t="shared" si="58"/>
        <v>82834.171465274936</v>
      </c>
      <c r="S227" s="100">
        <f t="shared" si="59"/>
        <v>-987.07183603977319</v>
      </c>
      <c r="T227" s="91">
        <f t="shared" si="52"/>
        <v>0</v>
      </c>
      <c r="U227" s="101"/>
      <c r="V227" s="61">
        <f t="shared" si="46"/>
        <v>34067.112382044099</v>
      </c>
      <c r="W227" s="61">
        <f t="shared" si="53"/>
        <v>29822.335025380715</v>
      </c>
    </row>
    <row r="228" spans="1:23" x14ac:dyDescent="0.25">
      <c r="A228" s="73">
        <f t="shared" si="48"/>
        <v>221</v>
      </c>
      <c r="C228" s="125">
        <v>46191.760416666657</v>
      </c>
      <c r="D228" s="126">
        <v>2.35</v>
      </c>
      <c r="E228" s="126">
        <v>2.36</v>
      </c>
      <c r="F228" s="126">
        <v>2.33</v>
      </c>
      <c r="G228" s="126">
        <v>2.33</v>
      </c>
      <c r="H228" s="124">
        <v>19873903</v>
      </c>
      <c r="I228" s="129">
        <f t="shared" si="47"/>
        <v>2.33</v>
      </c>
      <c r="K228" s="86">
        <f t="shared" si="49"/>
        <v>-8.5106382978723527E-3</v>
      </c>
      <c r="L228" s="87">
        <f t="shared" si="50"/>
        <v>19873.902999999998</v>
      </c>
      <c r="M228" s="67">
        <f t="shared" si="51"/>
        <v>220</v>
      </c>
      <c r="N228" s="68">
        <f t="shared" si="56"/>
        <v>2.33</v>
      </c>
      <c r="O228" s="92">
        <f t="shared" si="54"/>
        <v>35248.583602244653</v>
      </c>
      <c r="P228" s="61">
        <f t="shared" si="55"/>
        <v>81847.099629235163</v>
      </c>
      <c r="Q228" s="93">
        <f t="shared" si="57"/>
        <v>-48867.51124030404</v>
      </c>
      <c r="R228" s="61">
        <f t="shared" si="58"/>
        <v>82129.199793230044</v>
      </c>
      <c r="S228" s="100">
        <f t="shared" si="59"/>
        <v>-282.10016399488086</v>
      </c>
      <c r="T228" s="91">
        <f t="shared" si="52"/>
        <v>0</v>
      </c>
      <c r="U228" s="101"/>
      <c r="V228" s="61">
        <f t="shared" si="46"/>
        <v>33261.688552926003</v>
      </c>
      <c r="W228" s="61">
        <f t="shared" si="53"/>
        <v>29568.527918781729</v>
      </c>
    </row>
    <row r="229" spans="1:23" x14ac:dyDescent="0.25">
      <c r="A229" s="73">
        <f t="shared" si="48"/>
        <v>222</v>
      </c>
      <c r="C229" s="127">
        <v>46191.770833333343</v>
      </c>
      <c r="D229" s="128">
        <v>2.33</v>
      </c>
      <c r="E229" s="128">
        <v>2.36</v>
      </c>
      <c r="F229" s="128">
        <v>2.31</v>
      </c>
      <c r="G229" s="128">
        <v>2.31</v>
      </c>
      <c r="H229" s="124">
        <v>22129499</v>
      </c>
      <c r="I229" s="129">
        <f t="shared" si="47"/>
        <v>2.31</v>
      </c>
      <c r="K229" s="86">
        <f t="shared" si="49"/>
        <v>-8.5836909871245259E-3</v>
      </c>
      <c r="L229" s="87">
        <f t="shared" si="50"/>
        <v>22129.499</v>
      </c>
      <c r="M229" s="67">
        <f t="shared" si="51"/>
        <v>221</v>
      </c>
      <c r="N229" s="68">
        <f t="shared" si="56"/>
        <v>2.31</v>
      </c>
      <c r="O229" s="92">
        <f t="shared" si="54"/>
        <v>35248.583602244653</v>
      </c>
      <c r="P229" s="61">
        <f t="shared" si="55"/>
        <v>81847.099629235163</v>
      </c>
      <c r="Q229" s="93">
        <f t="shared" si="57"/>
        <v>-48968.170312373768</v>
      </c>
      <c r="R229" s="61">
        <f t="shared" si="58"/>
        <v>81424.228121185151</v>
      </c>
      <c r="S229" s="100">
        <f t="shared" si="59"/>
        <v>422.87150805001147</v>
      </c>
      <c r="T229" s="91">
        <f t="shared" si="52"/>
        <v>0</v>
      </c>
      <c r="U229" s="101"/>
      <c r="V229" s="61">
        <f t="shared" si="46"/>
        <v>32456.057808811383</v>
      </c>
      <c r="W229" s="61">
        <f t="shared" si="53"/>
        <v>29314.720812182743</v>
      </c>
    </row>
    <row r="230" spans="1:23" x14ac:dyDescent="0.25">
      <c r="A230" s="73">
        <f t="shared" si="48"/>
        <v>223</v>
      </c>
      <c r="C230" s="125">
        <v>46191.78125</v>
      </c>
      <c r="D230" s="126">
        <v>2.2999999999999998</v>
      </c>
      <c r="E230" s="126">
        <v>2.33</v>
      </c>
      <c r="F230" s="126">
        <v>2.29</v>
      </c>
      <c r="G230" s="126">
        <v>2.31</v>
      </c>
      <c r="H230" s="124">
        <v>16379964</v>
      </c>
      <c r="I230" s="129">
        <f t="shared" si="47"/>
        <v>2.31</v>
      </c>
      <c r="K230" s="86">
        <f t="shared" si="49"/>
        <v>0</v>
      </c>
      <c r="L230" s="87">
        <f t="shared" si="50"/>
        <v>16379.964</v>
      </c>
      <c r="M230" s="67">
        <f t="shared" si="51"/>
        <v>222</v>
      </c>
      <c r="N230" s="68">
        <f t="shared" si="56"/>
        <v>2.31</v>
      </c>
      <c r="O230" s="92">
        <f t="shared" si="54"/>
        <v>35248.583602244653</v>
      </c>
      <c r="P230" s="61">
        <f t="shared" si="55"/>
        <v>81847.099629235163</v>
      </c>
      <c r="Q230" s="93">
        <f t="shared" si="57"/>
        <v>-49069.036725651029</v>
      </c>
      <c r="R230" s="61">
        <f t="shared" si="58"/>
        <v>81424.228121185151</v>
      </c>
      <c r="S230" s="100">
        <f t="shared" si="59"/>
        <v>422.87150805001147</v>
      </c>
      <c r="T230" s="91">
        <f t="shared" si="52"/>
        <v>0</v>
      </c>
      <c r="U230" s="101"/>
      <c r="V230" s="61">
        <f t="shared" si="46"/>
        <v>32355.191395534122</v>
      </c>
      <c r="W230" s="61">
        <f t="shared" si="53"/>
        <v>29314.720812182743</v>
      </c>
    </row>
    <row r="231" spans="1:23" x14ac:dyDescent="0.25">
      <c r="A231" s="73">
        <f t="shared" si="48"/>
        <v>224</v>
      </c>
      <c r="C231" s="127">
        <v>46191.791666666657</v>
      </c>
      <c r="D231" s="128">
        <v>2.31</v>
      </c>
      <c r="E231" s="128">
        <v>2.3397000000000001</v>
      </c>
      <c r="F231" s="128">
        <v>2.2999999999999998</v>
      </c>
      <c r="G231" s="128">
        <v>2.2999999999999998</v>
      </c>
      <c r="H231" s="124">
        <v>28477240</v>
      </c>
      <c r="I231" s="129">
        <f t="shared" si="47"/>
        <v>2.2999999999999998</v>
      </c>
      <c r="K231" s="86">
        <f t="shared" si="49"/>
        <v>-4.3290043290044045E-3</v>
      </c>
      <c r="L231" s="87">
        <f t="shared" si="50"/>
        <v>28477.24</v>
      </c>
      <c r="M231" s="67">
        <f t="shared" si="51"/>
        <v>223</v>
      </c>
      <c r="N231" s="68">
        <f t="shared" si="56"/>
        <v>2.2999999999999998</v>
      </c>
      <c r="O231" s="92">
        <f t="shared" si="54"/>
        <v>35248.583602244653</v>
      </c>
      <c r="P231" s="61">
        <f t="shared" si="55"/>
        <v>81847.099629235163</v>
      </c>
      <c r="Q231" s="93">
        <f t="shared" si="57"/>
        <v>-49170.110907224771</v>
      </c>
      <c r="R231" s="61">
        <f t="shared" si="58"/>
        <v>81071.742285162691</v>
      </c>
      <c r="S231" s="100">
        <f t="shared" si="59"/>
        <v>775.35734407247219</v>
      </c>
      <c r="T231" s="91">
        <f t="shared" si="52"/>
        <v>0</v>
      </c>
      <c r="U231" s="101"/>
      <c r="V231" s="61">
        <f t="shared" si="46"/>
        <v>31901.63137793792</v>
      </c>
      <c r="W231" s="61">
        <f t="shared" si="53"/>
        <v>29187.817258883249</v>
      </c>
    </row>
    <row r="232" spans="1:23" x14ac:dyDescent="0.25">
      <c r="A232" s="73">
        <f t="shared" si="48"/>
        <v>225</v>
      </c>
      <c r="C232" s="125">
        <v>46191.802083333343</v>
      </c>
      <c r="D232" s="126">
        <v>2.2999999999999998</v>
      </c>
      <c r="E232" s="126">
        <v>2.35</v>
      </c>
      <c r="F232" s="126">
        <v>2.2999999999999998</v>
      </c>
      <c r="G232" s="126">
        <v>2.33</v>
      </c>
      <c r="H232" s="124">
        <v>17017746</v>
      </c>
      <c r="I232" s="129">
        <f t="shared" si="47"/>
        <v>2.33</v>
      </c>
      <c r="K232" s="86">
        <f t="shared" si="49"/>
        <v>1.3043478260869712E-2</v>
      </c>
      <c r="L232" s="87">
        <f t="shared" si="50"/>
        <v>17017.745999999999</v>
      </c>
      <c r="M232" s="67">
        <f t="shared" si="51"/>
        <v>224</v>
      </c>
      <c r="N232" s="68">
        <f t="shared" si="56"/>
        <v>2.33</v>
      </c>
      <c r="O232" s="92">
        <f t="shared" si="54"/>
        <v>35248.583602244653</v>
      </c>
      <c r="P232" s="61">
        <f t="shared" si="55"/>
        <v>81847.099629235163</v>
      </c>
      <c r="Q232" s="93">
        <f t="shared" si="57"/>
        <v>-49271.393285063663</v>
      </c>
      <c r="R232" s="61">
        <f t="shared" si="58"/>
        <v>82129.199793230044</v>
      </c>
      <c r="S232" s="100">
        <f t="shared" si="59"/>
        <v>-282.10016399488086</v>
      </c>
      <c r="T232" s="91">
        <f t="shared" si="52"/>
        <v>0</v>
      </c>
      <c r="U232" s="101"/>
      <c r="V232" s="61">
        <f t="shared" si="46"/>
        <v>32857.806508166381</v>
      </c>
      <c r="W232" s="61">
        <f t="shared" si="53"/>
        <v>29568.527918781729</v>
      </c>
    </row>
    <row r="233" spans="1:23" x14ac:dyDescent="0.25">
      <c r="A233" s="73">
        <f t="shared" si="48"/>
        <v>226</v>
      </c>
      <c r="C233" s="127">
        <v>46191.8125</v>
      </c>
      <c r="D233" s="128">
        <v>2.34</v>
      </c>
      <c r="E233" s="128">
        <v>2.36</v>
      </c>
      <c r="F233" s="128">
        <v>2.31</v>
      </c>
      <c r="G233" s="128">
        <v>2.33</v>
      </c>
      <c r="H233" s="124">
        <v>22882720</v>
      </c>
      <c r="I233" s="129">
        <f t="shared" si="47"/>
        <v>2.33</v>
      </c>
      <c r="K233" s="86">
        <f t="shared" si="49"/>
        <v>0</v>
      </c>
      <c r="L233" s="87">
        <f t="shared" si="50"/>
        <v>22882.720000000001</v>
      </c>
      <c r="M233" s="67">
        <f t="shared" si="51"/>
        <v>225</v>
      </c>
      <c r="N233" s="68">
        <f t="shared" si="56"/>
        <v>2.33</v>
      </c>
      <c r="O233" s="92">
        <f t="shared" si="54"/>
        <v>35248.583602244653</v>
      </c>
      <c r="P233" s="61">
        <f t="shared" si="55"/>
        <v>81847.099629235163</v>
      </c>
      <c r="Q233" s="93">
        <f t="shared" si="57"/>
        <v>-49372.884288017922</v>
      </c>
      <c r="R233" s="61">
        <f t="shared" si="58"/>
        <v>82129.199793230044</v>
      </c>
      <c r="S233" s="100">
        <f t="shared" si="59"/>
        <v>-282.10016399488086</v>
      </c>
      <c r="T233" s="91">
        <f t="shared" si="52"/>
        <v>0</v>
      </c>
      <c r="U233" s="101"/>
      <c r="V233" s="61">
        <f t="shared" si="46"/>
        <v>32756.315505212122</v>
      </c>
      <c r="W233" s="61">
        <f t="shared" si="53"/>
        <v>29568.527918781729</v>
      </c>
    </row>
    <row r="234" spans="1:23" x14ac:dyDescent="0.25">
      <c r="A234" s="73">
        <f t="shared" si="48"/>
        <v>227</v>
      </c>
      <c r="C234" s="125">
        <v>46191.822916666657</v>
      </c>
      <c r="D234" s="126">
        <v>2.33</v>
      </c>
      <c r="E234" s="126">
        <v>2.34</v>
      </c>
      <c r="F234" s="126">
        <v>2.2599999999999998</v>
      </c>
      <c r="G234" s="126">
        <v>2.2999999999999998</v>
      </c>
      <c r="H234" s="124">
        <v>22896258</v>
      </c>
      <c r="I234" s="129">
        <f t="shared" si="47"/>
        <v>2.2999999999999998</v>
      </c>
      <c r="K234" s="86">
        <f t="shared" si="49"/>
        <v>-1.2875536480686844E-2</v>
      </c>
      <c r="L234" s="87">
        <f t="shared" si="50"/>
        <v>22896.258000000002</v>
      </c>
      <c r="M234" s="67">
        <f t="shared" si="51"/>
        <v>226</v>
      </c>
      <c r="N234" s="68">
        <f t="shared" si="56"/>
        <v>2.2999999999999998</v>
      </c>
      <c r="O234" s="92">
        <f t="shared" si="54"/>
        <v>35248.583602244653</v>
      </c>
      <c r="P234" s="61">
        <f t="shared" si="55"/>
        <v>81847.099629235163</v>
      </c>
      <c r="Q234" s="93">
        <f t="shared" si="57"/>
        <v>-49474.584345821131</v>
      </c>
      <c r="R234" s="61">
        <f t="shared" si="58"/>
        <v>81071.742285162691</v>
      </c>
      <c r="S234" s="100">
        <f t="shared" si="59"/>
        <v>775.35734407247219</v>
      </c>
      <c r="T234" s="91">
        <f t="shared" si="52"/>
        <v>0</v>
      </c>
      <c r="U234" s="101"/>
      <c r="V234" s="61">
        <f t="shared" si="46"/>
        <v>31597.15793934156</v>
      </c>
      <c r="W234" s="61">
        <f t="shared" si="53"/>
        <v>29187.817258883249</v>
      </c>
    </row>
    <row r="235" spans="1:23" x14ac:dyDescent="0.25">
      <c r="A235" s="73"/>
      <c r="C235" s="127"/>
      <c r="D235" s="128"/>
      <c r="E235" s="128"/>
      <c r="F235" s="128"/>
      <c r="G235" s="128"/>
      <c r="H235" s="124"/>
      <c r="I235" s="129"/>
      <c r="K235" s="86"/>
      <c r="L235" s="87"/>
      <c r="O235" s="92"/>
      <c r="Q235" s="93"/>
      <c r="S235" s="100"/>
      <c r="T235" s="91"/>
      <c r="U235" s="101"/>
      <c r="V235" s="61"/>
      <c r="W235" s="61"/>
    </row>
    <row r="236" spans="1:23" x14ac:dyDescent="0.25">
      <c r="A236" s="73"/>
      <c r="C236" s="125"/>
      <c r="D236" s="126"/>
      <c r="E236" s="126"/>
      <c r="F236" s="126"/>
      <c r="G236" s="126"/>
      <c r="H236" s="124"/>
      <c r="I236" s="129"/>
      <c r="K236" s="86"/>
      <c r="L236" s="87"/>
      <c r="O236" s="92"/>
      <c r="Q236" s="93"/>
      <c r="S236" s="100"/>
      <c r="T236" s="91"/>
      <c r="U236" s="101"/>
      <c r="V236" s="61"/>
      <c r="W236" s="61"/>
    </row>
    <row r="237" spans="1:23" x14ac:dyDescent="0.25">
      <c r="A237" s="73"/>
      <c r="C237" s="127"/>
      <c r="D237" s="128"/>
      <c r="E237" s="128"/>
      <c r="F237" s="128"/>
      <c r="G237" s="128"/>
      <c r="H237" s="124"/>
      <c r="I237" s="129"/>
      <c r="K237" s="86"/>
      <c r="L237" s="87"/>
      <c r="O237" s="92"/>
      <c r="Q237" s="93"/>
      <c r="S237" s="100"/>
      <c r="T237" s="91"/>
      <c r="U237" s="101"/>
      <c r="V237" s="61"/>
      <c r="W237" s="61"/>
    </row>
    <row r="238" spans="1:23" x14ac:dyDescent="0.25">
      <c r="A238" s="73"/>
      <c r="C238" s="125"/>
      <c r="D238" s="126"/>
      <c r="E238" s="126"/>
      <c r="F238" s="126"/>
      <c r="G238" s="126"/>
      <c r="H238" s="124"/>
      <c r="I238" s="129"/>
      <c r="K238" s="86"/>
      <c r="L238" s="87"/>
      <c r="O238" s="92"/>
      <c r="Q238" s="93"/>
      <c r="S238" s="100"/>
      <c r="T238" s="91"/>
      <c r="U238" s="101"/>
      <c r="V238" s="61"/>
      <c r="W238" s="61"/>
    </row>
    <row r="239" spans="1:23" x14ac:dyDescent="0.25">
      <c r="A239" s="73"/>
      <c r="C239" s="127"/>
      <c r="D239" s="128"/>
      <c r="E239" s="128"/>
      <c r="F239" s="128"/>
      <c r="G239" s="128"/>
      <c r="H239" s="124"/>
      <c r="I239" s="129"/>
      <c r="K239" s="86"/>
      <c r="L239" s="87"/>
      <c r="O239" s="92"/>
      <c r="Q239" s="93"/>
      <c r="S239" s="100"/>
      <c r="T239" s="91"/>
      <c r="U239" s="101"/>
      <c r="V239" s="61"/>
      <c r="W239" s="61"/>
    </row>
    <row r="240" spans="1:23" x14ac:dyDescent="0.25">
      <c r="A240" s="73"/>
      <c r="C240" s="125"/>
      <c r="D240" s="126"/>
      <c r="E240" s="126"/>
      <c r="F240" s="126"/>
      <c r="G240" s="126"/>
      <c r="H240" s="124"/>
      <c r="I240" s="129"/>
      <c r="K240" s="86"/>
      <c r="L240" s="87"/>
      <c r="O240" s="92"/>
      <c r="Q240" s="93"/>
      <c r="S240" s="100"/>
      <c r="T240" s="91"/>
      <c r="U240" s="101"/>
      <c r="V240" s="61"/>
      <c r="W240" s="61"/>
    </row>
    <row r="241" spans="1:23" x14ac:dyDescent="0.25">
      <c r="A241" s="73"/>
      <c r="C241" s="127"/>
      <c r="D241" s="128"/>
      <c r="E241" s="128"/>
      <c r="F241" s="128"/>
      <c r="G241" s="128"/>
      <c r="H241" s="124"/>
      <c r="I241" s="129"/>
      <c r="K241" s="86"/>
      <c r="L241" s="87"/>
      <c r="O241" s="92"/>
      <c r="Q241" s="93"/>
      <c r="S241" s="100"/>
      <c r="T241" s="91"/>
      <c r="U241" s="101"/>
      <c r="V241" s="61"/>
      <c r="W241" s="61"/>
    </row>
    <row r="242" spans="1:23" x14ac:dyDescent="0.25">
      <c r="A242" s="73"/>
      <c r="C242" s="125"/>
      <c r="D242" s="126"/>
      <c r="E242" s="126"/>
      <c r="F242" s="126"/>
      <c r="G242" s="126"/>
      <c r="H242" s="124"/>
      <c r="I242" s="129"/>
      <c r="K242" s="86"/>
      <c r="L242" s="87"/>
      <c r="O242" s="92"/>
      <c r="Q242" s="93"/>
      <c r="S242" s="100"/>
      <c r="T242" s="91"/>
      <c r="U242" s="101"/>
      <c r="V242" s="61"/>
      <c r="W242" s="61"/>
    </row>
    <row r="243" spans="1:23" x14ac:dyDescent="0.25">
      <c r="A243" s="73"/>
      <c r="C243" s="127"/>
      <c r="D243" s="128"/>
      <c r="E243" s="128"/>
      <c r="F243" s="128"/>
      <c r="G243" s="128"/>
      <c r="H243" s="124"/>
      <c r="I243" s="129"/>
      <c r="K243" s="86"/>
      <c r="L243" s="87"/>
      <c r="O243" s="92"/>
      <c r="Q243" s="93"/>
      <c r="S243" s="100"/>
      <c r="T243" s="91"/>
      <c r="U243" s="101"/>
      <c r="V243" s="61"/>
      <c r="W243" s="61"/>
    </row>
    <row r="244" spans="1:23" x14ac:dyDescent="0.25">
      <c r="A244" s="73"/>
      <c r="C244" s="125"/>
      <c r="D244" s="126"/>
      <c r="E244" s="126"/>
      <c r="F244" s="126"/>
      <c r="G244" s="126"/>
      <c r="H244" s="124"/>
      <c r="I244" s="129"/>
      <c r="K244" s="86"/>
      <c r="L244" s="87"/>
      <c r="O244" s="92"/>
      <c r="Q244" s="93"/>
      <c r="S244" s="100"/>
      <c r="T244" s="91"/>
      <c r="U244" s="101"/>
      <c r="V244" s="61"/>
      <c r="W244" s="61"/>
    </row>
    <row r="245" spans="1:23" x14ac:dyDescent="0.25">
      <c r="A245" s="73"/>
      <c r="C245" s="127"/>
      <c r="D245" s="128"/>
      <c r="E245" s="128"/>
      <c r="F245" s="128"/>
      <c r="G245" s="128"/>
      <c r="H245" s="124"/>
      <c r="I245" s="129"/>
      <c r="K245" s="86"/>
      <c r="L245" s="87"/>
      <c r="O245" s="92"/>
      <c r="Q245" s="93"/>
      <c r="S245" s="100"/>
      <c r="T245" s="91"/>
      <c r="U245" s="101"/>
      <c r="V245" s="61"/>
      <c r="W245" s="61"/>
    </row>
    <row r="246" spans="1:23" x14ac:dyDescent="0.25">
      <c r="A246" s="73"/>
      <c r="C246" s="125"/>
      <c r="D246" s="126"/>
      <c r="E246" s="126"/>
      <c r="F246" s="126"/>
      <c r="G246" s="126"/>
      <c r="H246" s="124"/>
      <c r="I246" s="129"/>
      <c r="K246" s="86"/>
      <c r="L246" s="87"/>
      <c r="O246" s="92"/>
      <c r="Q246" s="93"/>
      <c r="S246" s="100"/>
      <c r="T246" s="91"/>
      <c r="U246" s="101"/>
      <c r="V246" s="61"/>
      <c r="W246" s="61"/>
    </row>
    <row r="247" spans="1:23" x14ac:dyDescent="0.25">
      <c r="A247" s="73"/>
      <c r="C247" s="127"/>
      <c r="D247" s="128"/>
      <c r="E247" s="128"/>
      <c r="F247" s="128"/>
      <c r="G247" s="128"/>
      <c r="H247" s="124"/>
      <c r="I247" s="129"/>
      <c r="K247" s="86"/>
      <c r="L247" s="87"/>
      <c r="O247" s="92"/>
      <c r="Q247" s="93"/>
      <c r="S247" s="100"/>
      <c r="T247" s="91"/>
      <c r="U247" s="101"/>
      <c r="V247" s="61"/>
      <c r="W247" s="61"/>
    </row>
    <row r="248" spans="1:23" x14ac:dyDescent="0.25">
      <c r="A248" s="73"/>
      <c r="C248" s="125"/>
      <c r="D248" s="126"/>
      <c r="E248" s="126"/>
      <c r="F248" s="126"/>
      <c r="G248" s="126"/>
      <c r="H248" s="124"/>
      <c r="I248" s="129"/>
      <c r="K248" s="86"/>
      <c r="L248" s="87"/>
      <c r="O248" s="92"/>
      <c r="Q248" s="93"/>
      <c r="S248" s="100"/>
      <c r="T248" s="91"/>
      <c r="U248" s="101"/>
      <c r="V248" s="61"/>
      <c r="W248" s="61"/>
    </row>
    <row r="249" spans="1:23" x14ac:dyDescent="0.25">
      <c r="A249" s="73"/>
      <c r="C249" s="127"/>
      <c r="D249" s="128"/>
      <c r="E249" s="128"/>
      <c r="F249" s="128"/>
      <c r="G249" s="128"/>
      <c r="H249" s="124"/>
      <c r="I249" s="129"/>
      <c r="K249" s="86"/>
      <c r="L249" s="87"/>
      <c r="O249" s="92"/>
      <c r="Q249" s="93"/>
      <c r="S249" s="100"/>
      <c r="T249" s="91"/>
      <c r="U249" s="101"/>
      <c r="V249" s="61"/>
      <c r="W249" s="61"/>
    </row>
    <row r="250" spans="1:23" x14ac:dyDescent="0.25">
      <c r="A250" s="73"/>
      <c r="C250" s="125"/>
      <c r="D250" s="126"/>
      <c r="E250" s="126"/>
      <c r="F250" s="126"/>
      <c r="G250" s="126"/>
      <c r="H250" s="124"/>
      <c r="I250" s="129"/>
      <c r="K250" s="86"/>
      <c r="L250" s="87"/>
      <c r="O250" s="92"/>
      <c r="Q250" s="93"/>
      <c r="S250" s="100"/>
      <c r="T250" s="91"/>
      <c r="U250" s="101"/>
      <c r="V250" s="61"/>
      <c r="W250" s="61"/>
    </row>
    <row r="251" spans="1:23" x14ac:dyDescent="0.25">
      <c r="A251" s="73"/>
      <c r="C251" s="127"/>
      <c r="D251" s="128"/>
      <c r="E251" s="128"/>
      <c r="F251" s="128"/>
      <c r="G251" s="128"/>
      <c r="H251" s="124"/>
      <c r="I251" s="129"/>
      <c r="K251" s="86"/>
      <c r="L251" s="87"/>
      <c r="O251" s="92"/>
      <c r="Q251" s="93"/>
      <c r="S251" s="100"/>
      <c r="T251" s="91"/>
      <c r="U251" s="101"/>
      <c r="V251" s="61"/>
      <c r="W251" s="61"/>
    </row>
    <row r="252" spans="1:23" x14ac:dyDescent="0.25">
      <c r="A252" s="73"/>
      <c r="C252" s="125"/>
      <c r="D252" s="126"/>
      <c r="E252" s="126"/>
      <c r="F252" s="126"/>
      <c r="G252" s="126"/>
      <c r="H252" s="124"/>
      <c r="I252" s="129"/>
      <c r="K252" s="86"/>
      <c r="L252" s="87"/>
      <c r="O252" s="92"/>
      <c r="Q252" s="93"/>
      <c r="S252" s="100"/>
      <c r="T252" s="91"/>
      <c r="U252" s="101"/>
      <c r="V252" s="61"/>
      <c r="W252" s="61"/>
    </row>
    <row r="253" spans="1:23" x14ac:dyDescent="0.25">
      <c r="A253" s="73"/>
      <c r="C253" s="127"/>
      <c r="D253" s="128"/>
      <c r="E253" s="128"/>
      <c r="F253" s="128"/>
      <c r="G253" s="128"/>
      <c r="H253" s="124"/>
      <c r="I253" s="129"/>
      <c r="K253" s="86"/>
      <c r="L253" s="87"/>
      <c r="O253" s="92"/>
      <c r="Q253" s="93"/>
      <c r="S253" s="100"/>
      <c r="T253" s="91"/>
      <c r="U253" s="101"/>
      <c r="V253" s="61"/>
      <c r="W253" s="61"/>
    </row>
    <row r="254" spans="1:23" x14ac:dyDescent="0.25">
      <c r="A254" s="73"/>
      <c r="C254" s="125"/>
      <c r="D254" s="126"/>
      <c r="E254" s="126"/>
      <c r="F254" s="126"/>
      <c r="G254" s="126"/>
      <c r="H254" s="124"/>
      <c r="I254" s="129"/>
      <c r="K254" s="86"/>
      <c r="L254" s="87"/>
      <c r="O254" s="92"/>
      <c r="Q254" s="93"/>
      <c r="S254" s="100"/>
      <c r="T254" s="91"/>
      <c r="U254" s="101"/>
      <c r="V254" s="61"/>
      <c r="W254" s="61"/>
    </row>
    <row r="255" spans="1:23" x14ac:dyDescent="0.25">
      <c r="A255" s="73"/>
      <c r="C255" s="127"/>
      <c r="D255" s="128"/>
      <c r="E255" s="128"/>
      <c r="F255" s="128"/>
      <c r="G255" s="128"/>
      <c r="H255" s="124"/>
      <c r="I255" s="129"/>
      <c r="K255" s="86"/>
      <c r="L255" s="87"/>
      <c r="O255" s="92"/>
      <c r="Q255" s="93"/>
      <c r="S255" s="100"/>
      <c r="T255" s="91"/>
      <c r="U255" s="101"/>
      <c r="V255" s="61"/>
      <c r="W255" s="61"/>
    </row>
    <row r="256" spans="1:23" x14ac:dyDescent="0.25">
      <c r="A256" s="73"/>
      <c r="C256" s="125"/>
      <c r="D256" s="126"/>
      <c r="E256" s="126"/>
      <c r="F256" s="126"/>
      <c r="G256" s="126"/>
      <c r="H256" s="124"/>
      <c r="I256" s="129"/>
      <c r="K256" s="86"/>
      <c r="L256" s="87"/>
      <c r="O256" s="92"/>
      <c r="Q256" s="93"/>
      <c r="S256" s="100"/>
      <c r="T256" s="91"/>
      <c r="U256" s="101"/>
      <c r="V256" s="61"/>
      <c r="W256" s="61"/>
    </row>
    <row r="257" spans="1:23" x14ac:dyDescent="0.25">
      <c r="A257" s="73"/>
      <c r="C257" s="127"/>
      <c r="D257" s="128"/>
      <c r="E257" s="128"/>
      <c r="F257" s="128"/>
      <c r="G257" s="128"/>
      <c r="H257" s="124"/>
      <c r="I257" s="129"/>
      <c r="K257" s="86"/>
      <c r="L257" s="87"/>
      <c r="O257" s="92"/>
      <c r="Q257" s="93"/>
      <c r="S257" s="100"/>
      <c r="T257" s="91"/>
      <c r="U257" s="101"/>
      <c r="V257" s="61"/>
      <c r="W257" s="61"/>
    </row>
    <row r="258" spans="1:23" x14ac:dyDescent="0.25">
      <c r="A258" s="73"/>
      <c r="C258" s="125"/>
      <c r="D258" s="126"/>
      <c r="E258" s="126"/>
      <c r="F258" s="126"/>
      <c r="G258" s="126"/>
      <c r="H258" s="124"/>
      <c r="I258" s="129"/>
      <c r="K258" s="86"/>
      <c r="L258" s="87"/>
      <c r="O258" s="92"/>
      <c r="Q258" s="93"/>
      <c r="S258" s="100"/>
      <c r="T258" s="91"/>
      <c r="U258" s="101"/>
      <c r="V258" s="61"/>
      <c r="W258" s="61"/>
    </row>
    <row r="259" spans="1:23" x14ac:dyDescent="0.25">
      <c r="C259" s="127"/>
      <c r="D259" s="128"/>
      <c r="E259" s="128"/>
      <c r="F259" s="128"/>
      <c r="G259" s="128"/>
      <c r="H259" s="124"/>
      <c r="I259" s="129"/>
      <c r="K259" s="86"/>
      <c r="L259" s="87"/>
      <c r="O259" s="92"/>
      <c r="Q259" s="93"/>
      <c r="S259" s="100"/>
      <c r="T259" s="91"/>
      <c r="U259" s="101"/>
      <c r="V259" s="61"/>
      <c r="W259" s="61"/>
    </row>
    <row r="260" spans="1:23" x14ac:dyDescent="0.25">
      <c r="C260" s="125"/>
      <c r="D260" s="126"/>
      <c r="E260" s="126"/>
      <c r="F260" s="126"/>
      <c r="G260" s="126"/>
      <c r="H260" s="124"/>
      <c r="I260" s="129"/>
      <c r="K260" s="86"/>
      <c r="L260" s="87"/>
      <c r="O260" s="92"/>
      <c r="Q260" s="93"/>
      <c r="S260" s="100"/>
      <c r="T260" s="91"/>
      <c r="U260" s="101"/>
      <c r="V260" s="61"/>
      <c r="W260" s="61"/>
    </row>
    <row r="261" spans="1:23" x14ac:dyDescent="0.25">
      <c r="C261" s="127"/>
      <c r="D261" s="128"/>
      <c r="E261" s="128"/>
      <c r="F261" s="128"/>
      <c r="G261" s="128"/>
      <c r="H261" s="124"/>
      <c r="I261" s="129"/>
      <c r="K261" s="86"/>
      <c r="L261" s="87"/>
      <c r="O261" s="92"/>
      <c r="Q261" s="93"/>
      <c r="S261" s="100"/>
      <c r="T261" s="91"/>
      <c r="U261" s="101"/>
      <c r="V261" s="61"/>
      <c r="W261" s="61"/>
    </row>
    <row r="262" spans="1:23" x14ac:dyDescent="0.25">
      <c r="C262" s="125"/>
      <c r="D262" s="126"/>
      <c r="E262" s="126"/>
      <c r="F262" s="126"/>
      <c r="G262" s="126"/>
      <c r="H262" s="124"/>
      <c r="I262" s="129"/>
      <c r="K262" s="86"/>
      <c r="L262" s="87"/>
      <c r="O262" s="92"/>
      <c r="Q262" s="93"/>
      <c r="S262" s="100"/>
      <c r="T262" s="91"/>
      <c r="U262" s="101"/>
      <c r="V262" s="61"/>
      <c r="W262" s="61"/>
    </row>
    <row r="263" spans="1:23" x14ac:dyDescent="0.25">
      <c r="C263" s="127"/>
      <c r="D263" s="128"/>
      <c r="E263" s="128"/>
      <c r="F263" s="128"/>
      <c r="G263" s="128"/>
      <c r="H263" s="124"/>
      <c r="I263" s="129"/>
      <c r="K263" s="86"/>
      <c r="L263" s="87"/>
      <c r="O263" s="92"/>
      <c r="Q263" s="93"/>
      <c r="S263" s="100"/>
      <c r="T263" s="91"/>
      <c r="U263" s="101"/>
      <c r="V263" s="61"/>
      <c r="W263" s="61"/>
    </row>
    <row r="264" spans="1:23" x14ac:dyDescent="0.25">
      <c r="C264" s="125"/>
      <c r="D264" s="126"/>
      <c r="E264" s="126"/>
      <c r="F264" s="126"/>
      <c r="G264" s="126"/>
      <c r="H264" s="124"/>
      <c r="I264" s="129"/>
      <c r="K264" s="86"/>
      <c r="L264" s="87"/>
      <c r="O264" s="92"/>
      <c r="Q264" s="93"/>
      <c r="S264" s="100"/>
      <c r="T264" s="91"/>
      <c r="U264" s="101"/>
      <c r="V264" s="61"/>
      <c r="W264" s="61"/>
    </row>
    <row r="265" spans="1:23" x14ac:dyDescent="0.25">
      <c r="C265" s="127"/>
      <c r="D265" s="128"/>
      <c r="E265" s="128"/>
      <c r="F265" s="128"/>
      <c r="G265" s="128"/>
      <c r="H265" s="124"/>
      <c r="I265" s="129"/>
      <c r="K265" s="86"/>
      <c r="L265" s="87"/>
      <c r="O265" s="92"/>
      <c r="Q265" s="93"/>
      <c r="S265" s="100"/>
      <c r="T265" s="91"/>
      <c r="U265" s="101"/>
      <c r="V265" s="61"/>
      <c r="W265" s="61"/>
    </row>
    <row r="266" spans="1:23" x14ac:dyDescent="0.25">
      <c r="C266" s="125"/>
      <c r="D266" s="126"/>
      <c r="E266" s="126"/>
      <c r="F266" s="126"/>
      <c r="G266" s="126"/>
      <c r="H266" s="124"/>
      <c r="I266" s="129"/>
      <c r="K266" s="86"/>
      <c r="L266" s="87"/>
      <c r="O266" s="92"/>
      <c r="Q266" s="93"/>
      <c r="S266" s="100"/>
      <c r="T266" s="91"/>
      <c r="U266" s="101"/>
      <c r="V266" s="61"/>
      <c r="W266" s="61"/>
    </row>
    <row r="267" spans="1:23" x14ac:dyDescent="0.25">
      <c r="C267" s="127"/>
      <c r="D267" s="128"/>
      <c r="E267" s="128"/>
      <c r="F267" s="128"/>
      <c r="G267" s="128"/>
      <c r="H267" s="124"/>
      <c r="I267" s="129"/>
      <c r="K267" s="86"/>
      <c r="L267" s="87"/>
      <c r="O267" s="92"/>
      <c r="Q267" s="93"/>
      <c r="S267" s="100"/>
      <c r="T267" s="91"/>
      <c r="U267" s="101"/>
      <c r="V267" s="61"/>
      <c r="W267" s="61"/>
    </row>
    <row r="268" spans="1:23" x14ac:dyDescent="0.25">
      <c r="C268" s="125"/>
      <c r="D268" s="126"/>
      <c r="E268" s="126"/>
      <c r="F268" s="126"/>
      <c r="G268" s="126"/>
      <c r="H268" s="124"/>
      <c r="I268" s="129"/>
      <c r="K268" s="86"/>
      <c r="L268" s="87"/>
      <c r="O268" s="92"/>
      <c r="Q268" s="93"/>
      <c r="S268" s="100"/>
      <c r="T268" s="91"/>
      <c r="U268" s="101"/>
      <c r="V268" s="61"/>
      <c r="W268" s="61"/>
    </row>
    <row r="269" spans="1:23" x14ac:dyDescent="0.25">
      <c r="C269" s="127"/>
      <c r="D269" s="128"/>
      <c r="E269" s="128"/>
      <c r="F269" s="128"/>
      <c r="G269" s="128"/>
      <c r="H269" s="124"/>
      <c r="I269" s="129"/>
      <c r="K269" s="86"/>
      <c r="L269" s="87"/>
      <c r="O269" s="92"/>
      <c r="Q269" s="93"/>
      <c r="S269" s="100"/>
      <c r="T269" s="91"/>
      <c r="U269" s="101"/>
      <c r="V269" s="61"/>
      <c r="W269" s="61"/>
    </row>
    <row r="270" spans="1:23" x14ac:dyDescent="0.25">
      <c r="C270" s="125"/>
      <c r="D270" s="126"/>
      <c r="E270" s="126"/>
      <c r="F270" s="126"/>
      <c r="G270" s="126"/>
      <c r="H270" s="124"/>
      <c r="I270" s="129"/>
      <c r="K270" s="86"/>
      <c r="L270" s="87"/>
      <c r="O270" s="92"/>
      <c r="Q270" s="93"/>
      <c r="S270" s="100"/>
      <c r="T270" s="91"/>
      <c r="U270" s="101"/>
      <c r="V270" s="61"/>
      <c r="W270" s="61"/>
    </row>
    <row r="271" spans="1:23" x14ac:dyDescent="0.25">
      <c r="C271" s="127"/>
      <c r="D271" s="128"/>
      <c r="E271" s="128"/>
      <c r="F271" s="128"/>
      <c r="G271" s="128"/>
      <c r="H271" s="124"/>
      <c r="I271" s="129"/>
      <c r="K271" s="86"/>
      <c r="L271" s="87"/>
      <c r="O271" s="92"/>
      <c r="Q271" s="93"/>
      <c r="S271" s="100"/>
      <c r="T271" s="91"/>
      <c r="U271" s="101"/>
      <c r="V271" s="61"/>
      <c r="W271" s="61"/>
    </row>
    <row r="272" spans="1:23" x14ac:dyDescent="0.25">
      <c r="C272" s="125"/>
      <c r="D272" s="126"/>
      <c r="E272" s="126"/>
      <c r="F272" s="126"/>
      <c r="G272" s="126"/>
      <c r="H272" s="124"/>
      <c r="I272" s="129"/>
      <c r="K272" s="86"/>
      <c r="L272" s="87"/>
      <c r="O272" s="92"/>
      <c r="Q272" s="93"/>
      <c r="S272" s="100"/>
      <c r="T272" s="91"/>
      <c r="U272" s="101"/>
      <c r="V272" s="61"/>
      <c r="W272" s="61"/>
    </row>
    <row r="273" spans="3:23" x14ac:dyDescent="0.25">
      <c r="C273" s="127"/>
      <c r="D273" s="128"/>
      <c r="E273" s="128"/>
      <c r="F273" s="128"/>
      <c r="G273" s="128"/>
      <c r="H273" s="124"/>
      <c r="I273" s="129"/>
      <c r="K273" s="86"/>
      <c r="L273" s="87"/>
      <c r="O273" s="92"/>
      <c r="Q273" s="93"/>
      <c r="S273" s="100"/>
      <c r="T273" s="91"/>
      <c r="U273" s="101"/>
      <c r="V273" s="61"/>
      <c r="W273" s="61"/>
    </row>
    <row r="274" spans="3:23" x14ac:dyDescent="0.25">
      <c r="C274" s="125"/>
      <c r="D274" s="126"/>
      <c r="E274" s="126"/>
      <c r="F274" s="126"/>
      <c r="G274" s="126"/>
      <c r="H274" s="124"/>
      <c r="I274" s="129"/>
      <c r="K274" s="86"/>
      <c r="L274" s="87"/>
      <c r="O274" s="92"/>
      <c r="Q274" s="93"/>
      <c r="S274" s="100"/>
      <c r="T274" s="91"/>
      <c r="U274" s="101"/>
      <c r="V274" s="61"/>
      <c r="W274" s="61"/>
    </row>
    <row r="275" spans="3:23" x14ac:dyDescent="0.25">
      <c r="C275" s="127"/>
      <c r="D275" s="128"/>
      <c r="E275" s="128"/>
      <c r="F275" s="128"/>
      <c r="G275" s="128"/>
      <c r="H275" s="124"/>
      <c r="I275" s="129"/>
      <c r="K275" s="86"/>
      <c r="L275" s="87"/>
      <c r="O275" s="92"/>
      <c r="Q275" s="93"/>
      <c r="S275" s="100"/>
      <c r="T275" s="91"/>
      <c r="U275" s="101"/>
      <c r="V275" s="61"/>
      <c r="W275" s="61"/>
    </row>
    <row r="276" spans="3:23" x14ac:dyDescent="0.25">
      <c r="C276" s="125"/>
      <c r="D276" s="126"/>
      <c r="E276" s="126"/>
      <c r="F276" s="126"/>
      <c r="G276" s="126"/>
      <c r="H276" s="124"/>
      <c r="I276" s="129"/>
      <c r="K276" s="86"/>
      <c r="L276" s="87"/>
      <c r="O276" s="92"/>
      <c r="Q276" s="93"/>
      <c r="S276" s="100"/>
      <c r="T276" s="91"/>
      <c r="U276" s="101"/>
      <c r="V276" s="61"/>
      <c r="W276" s="61"/>
    </row>
    <row r="277" spans="3:23" x14ac:dyDescent="0.25">
      <c r="C277" s="127"/>
      <c r="D277" s="128"/>
      <c r="E277" s="128"/>
      <c r="F277" s="128"/>
      <c r="G277" s="128"/>
      <c r="H277" s="124"/>
      <c r="I277" s="129"/>
      <c r="K277" s="86"/>
      <c r="L277" s="87"/>
      <c r="O277" s="92"/>
      <c r="Q277" s="93"/>
      <c r="S277" s="100"/>
      <c r="T277" s="91"/>
      <c r="U277" s="101"/>
      <c r="V277" s="61"/>
      <c r="W277" s="61"/>
    </row>
    <row r="278" spans="3:23" x14ac:dyDescent="0.25">
      <c r="C278" s="125"/>
      <c r="D278" s="126"/>
      <c r="E278" s="126"/>
      <c r="F278" s="126"/>
      <c r="G278" s="126"/>
      <c r="H278" s="124"/>
      <c r="I278" s="129"/>
      <c r="K278" s="86"/>
      <c r="L278" s="87"/>
      <c r="O278" s="92"/>
      <c r="Q278" s="93"/>
      <c r="S278" s="100"/>
      <c r="T278" s="91"/>
      <c r="U278" s="101"/>
      <c r="V278" s="61"/>
      <c r="W278" s="61"/>
    </row>
    <row r="279" spans="3:23" x14ac:dyDescent="0.25">
      <c r="C279" s="127"/>
      <c r="D279" s="128"/>
      <c r="E279" s="128"/>
      <c r="F279" s="128"/>
      <c r="G279" s="128"/>
      <c r="H279" s="124"/>
      <c r="I279" s="129"/>
      <c r="K279" s="86"/>
      <c r="L279" s="87"/>
      <c r="O279" s="92"/>
      <c r="Q279" s="93"/>
      <c r="S279" s="100"/>
      <c r="T279" s="91"/>
      <c r="U279" s="101"/>
      <c r="V279" s="61"/>
      <c r="W279" s="61"/>
    </row>
    <row r="280" spans="3:23" x14ac:dyDescent="0.25">
      <c r="C280" s="125"/>
      <c r="D280" s="126"/>
      <c r="E280" s="126"/>
      <c r="F280" s="126"/>
      <c r="G280" s="126"/>
      <c r="H280" s="124"/>
      <c r="I280" s="129"/>
      <c r="K280" s="86"/>
      <c r="L280" s="87"/>
      <c r="O280" s="92"/>
      <c r="Q280" s="93"/>
      <c r="S280" s="100"/>
      <c r="T280" s="91"/>
      <c r="U280" s="101"/>
      <c r="V280" s="61"/>
      <c r="W280" s="61"/>
    </row>
    <row r="281" spans="3:23" x14ac:dyDescent="0.25">
      <c r="C281" s="127"/>
      <c r="D281" s="128"/>
      <c r="E281" s="128"/>
      <c r="F281" s="128"/>
      <c r="G281" s="128"/>
      <c r="H281" s="124"/>
      <c r="I281" s="129"/>
      <c r="K281" s="86"/>
      <c r="L281" s="87"/>
      <c r="O281" s="92"/>
      <c r="Q281" s="93"/>
      <c r="S281" s="100"/>
      <c r="T281" s="91"/>
      <c r="U281" s="101"/>
      <c r="V281" s="61"/>
      <c r="W281" s="61"/>
    </row>
    <row r="282" spans="3:23" x14ac:dyDescent="0.25">
      <c r="C282" s="125"/>
      <c r="D282" s="126"/>
      <c r="E282" s="126"/>
      <c r="F282" s="126"/>
      <c r="G282" s="126"/>
      <c r="H282" s="124"/>
      <c r="I282" s="129"/>
      <c r="K282" s="86"/>
      <c r="L282" s="87"/>
      <c r="O282" s="92"/>
      <c r="Q282" s="93"/>
      <c r="S282" s="100"/>
      <c r="T282" s="91"/>
      <c r="U282" s="101"/>
      <c r="V282" s="61"/>
      <c r="W282" s="61"/>
    </row>
    <row r="283" spans="3:23" x14ac:dyDescent="0.25">
      <c r="C283" s="127"/>
      <c r="D283" s="128"/>
      <c r="E283" s="128"/>
      <c r="F283" s="128"/>
      <c r="G283" s="128"/>
      <c r="H283" s="124"/>
      <c r="I283" s="129"/>
      <c r="K283" s="86"/>
      <c r="L283" s="87"/>
      <c r="O283" s="92"/>
      <c r="Q283" s="93"/>
      <c r="S283" s="100"/>
      <c r="T283" s="91"/>
      <c r="U283" s="101"/>
      <c r="V283" s="61"/>
      <c r="W283" s="61"/>
    </row>
    <row r="284" spans="3:23" x14ac:dyDescent="0.25">
      <c r="C284" s="125"/>
      <c r="D284" s="126"/>
      <c r="E284" s="126"/>
      <c r="F284" s="126"/>
      <c r="G284" s="126"/>
      <c r="H284" s="124"/>
      <c r="I284" s="129"/>
      <c r="K284" s="86"/>
      <c r="L284" s="87"/>
      <c r="O284" s="92"/>
      <c r="Q284" s="93"/>
      <c r="S284" s="100"/>
      <c r="T284" s="91"/>
      <c r="U284" s="101"/>
      <c r="V284" s="61"/>
      <c r="W284" s="61"/>
    </row>
    <row r="285" spans="3:23" x14ac:dyDescent="0.25">
      <c r="C285" s="127"/>
      <c r="D285" s="128"/>
      <c r="E285" s="128"/>
      <c r="F285" s="128"/>
      <c r="G285" s="128"/>
      <c r="H285" s="124"/>
      <c r="I285" s="129"/>
      <c r="K285" s="86"/>
      <c r="L285" s="87"/>
      <c r="O285" s="92"/>
      <c r="Q285" s="93"/>
      <c r="S285" s="100"/>
      <c r="T285" s="91"/>
      <c r="U285" s="101"/>
      <c r="V285" s="61"/>
      <c r="W285" s="61"/>
    </row>
    <row r="286" spans="3:23" x14ac:dyDescent="0.25">
      <c r="C286" s="125"/>
      <c r="D286" s="126"/>
      <c r="E286" s="126"/>
      <c r="F286" s="126"/>
      <c r="G286" s="126"/>
      <c r="H286" s="124"/>
      <c r="I286" s="129"/>
      <c r="K286" s="86"/>
      <c r="L286" s="87"/>
      <c r="O286" s="92"/>
      <c r="Q286" s="93"/>
      <c r="S286" s="100"/>
      <c r="T286" s="91"/>
      <c r="U286" s="101"/>
      <c r="V286" s="61"/>
      <c r="W286" s="61"/>
    </row>
    <row r="287" spans="3:23" x14ac:dyDescent="0.25">
      <c r="C287" s="127"/>
      <c r="D287" s="128"/>
      <c r="E287" s="128"/>
      <c r="F287" s="128"/>
      <c r="G287" s="128"/>
      <c r="H287" s="124"/>
      <c r="I287" s="129"/>
      <c r="K287" s="86"/>
      <c r="L287" s="87"/>
      <c r="O287" s="92"/>
      <c r="Q287" s="93"/>
      <c r="S287" s="100"/>
      <c r="T287" s="91"/>
      <c r="U287" s="101"/>
      <c r="V287" s="61"/>
      <c r="W287" s="61"/>
    </row>
    <row r="288" spans="3:23" x14ac:dyDescent="0.25">
      <c r="C288" s="125"/>
      <c r="D288" s="126"/>
      <c r="E288" s="126"/>
      <c r="F288" s="126"/>
      <c r="G288" s="126"/>
      <c r="H288" s="124"/>
      <c r="I288" s="129"/>
      <c r="K288" s="86"/>
      <c r="L288" s="87"/>
      <c r="O288" s="92"/>
      <c r="Q288" s="93"/>
      <c r="S288" s="100"/>
      <c r="T288" s="91"/>
      <c r="U288" s="101"/>
      <c r="V288" s="61"/>
      <c r="W288" s="61"/>
    </row>
    <row r="289" spans="3:23" x14ac:dyDescent="0.25">
      <c r="C289" s="127"/>
      <c r="D289" s="128"/>
      <c r="E289" s="128"/>
      <c r="F289" s="128"/>
      <c r="G289" s="128"/>
      <c r="H289" s="124"/>
      <c r="I289" s="129"/>
      <c r="K289" s="86"/>
      <c r="L289" s="87"/>
      <c r="O289" s="92"/>
      <c r="Q289" s="93"/>
      <c r="S289" s="100"/>
      <c r="T289" s="91"/>
      <c r="U289" s="101"/>
      <c r="V289" s="61"/>
      <c r="W289" s="61"/>
    </row>
    <row r="290" spans="3:23" x14ac:dyDescent="0.25">
      <c r="C290" s="125"/>
      <c r="D290" s="126"/>
      <c r="E290" s="126"/>
      <c r="F290" s="126"/>
      <c r="G290" s="126"/>
      <c r="H290" s="124"/>
      <c r="I290" s="129"/>
      <c r="K290" s="86"/>
      <c r="L290" s="87"/>
      <c r="O290" s="92"/>
      <c r="Q290" s="93"/>
      <c r="S290" s="100"/>
      <c r="T290" s="91"/>
      <c r="U290" s="101"/>
      <c r="V290" s="61"/>
      <c r="W290" s="61"/>
    </row>
    <row r="291" spans="3:23" x14ac:dyDescent="0.25">
      <c r="C291" s="127"/>
      <c r="D291" s="128"/>
      <c r="E291" s="128"/>
      <c r="F291" s="128"/>
      <c r="G291" s="128"/>
      <c r="H291" s="124"/>
      <c r="I291" s="129"/>
      <c r="K291" s="86"/>
      <c r="L291" s="87"/>
      <c r="O291" s="92"/>
      <c r="Q291" s="93"/>
      <c r="S291" s="100"/>
      <c r="T291" s="91"/>
      <c r="U291" s="101"/>
      <c r="V291" s="61"/>
      <c r="W291" s="61"/>
    </row>
    <row r="292" spans="3:23" x14ac:dyDescent="0.25">
      <c r="C292" s="125"/>
      <c r="D292" s="126"/>
      <c r="E292" s="126"/>
      <c r="F292" s="126"/>
      <c r="G292" s="126"/>
      <c r="H292" s="124"/>
      <c r="I292" s="129"/>
      <c r="K292" s="86"/>
      <c r="L292" s="87"/>
      <c r="O292" s="92"/>
      <c r="Q292" s="93"/>
      <c r="S292" s="100"/>
      <c r="T292" s="91"/>
      <c r="U292" s="101"/>
      <c r="V292" s="61"/>
      <c r="W292" s="61"/>
    </row>
    <row r="293" spans="3:23" x14ac:dyDescent="0.25">
      <c r="C293" s="127"/>
      <c r="D293" s="128"/>
      <c r="E293" s="128"/>
      <c r="F293" s="128"/>
      <c r="G293" s="128"/>
      <c r="H293" s="124"/>
      <c r="I293" s="129"/>
      <c r="K293" s="86"/>
      <c r="L293" s="87"/>
      <c r="O293" s="92"/>
      <c r="Q293" s="93"/>
      <c r="S293" s="100"/>
      <c r="T293" s="91"/>
      <c r="U293" s="101"/>
      <c r="V293" s="61"/>
      <c r="W293" s="61"/>
    </row>
    <row r="294" spans="3:23" x14ac:dyDescent="0.25">
      <c r="C294" s="125"/>
      <c r="D294" s="126"/>
      <c r="E294" s="126"/>
      <c r="F294" s="126"/>
      <c r="G294" s="126"/>
      <c r="H294" s="124"/>
      <c r="I294" s="129"/>
      <c r="K294" s="86"/>
      <c r="L294" s="87"/>
      <c r="O294" s="92"/>
      <c r="Q294" s="93"/>
      <c r="S294" s="100"/>
      <c r="T294" s="91"/>
      <c r="U294" s="101"/>
      <c r="V294" s="61"/>
      <c r="W294" s="61"/>
    </row>
    <row r="295" spans="3:23" x14ac:dyDescent="0.25">
      <c r="C295" s="127"/>
      <c r="D295" s="128"/>
      <c r="E295" s="128"/>
      <c r="F295" s="128"/>
      <c r="G295" s="128"/>
      <c r="H295" s="124"/>
      <c r="I295" s="129"/>
      <c r="K295" s="86"/>
      <c r="L295" s="87"/>
      <c r="O295" s="92"/>
      <c r="Q295" s="93"/>
      <c r="S295" s="100"/>
      <c r="T295" s="91"/>
      <c r="U295" s="101"/>
      <c r="V295" s="61"/>
      <c r="W295" s="61"/>
    </row>
    <row r="296" spans="3:23" x14ac:dyDescent="0.25">
      <c r="C296" s="125"/>
      <c r="D296" s="126"/>
      <c r="E296" s="126"/>
      <c r="F296" s="126"/>
      <c r="G296" s="126"/>
      <c r="H296" s="124"/>
      <c r="I296" s="129"/>
      <c r="K296" s="86"/>
      <c r="L296" s="87"/>
      <c r="O296" s="92"/>
      <c r="Q296" s="93"/>
      <c r="S296" s="100"/>
      <c r="T296" s="91"/>
      <c r="U296" s="101"/>
      <c r="V296" s="61"/>
      <c r="W296" s="61"/>
    </row>
    <row r="297" spans="3:23" x14ac:dyDescent="0.25">
      <c r="C297" s="127"/>
      <c r="D297" s="128"/>
      <c r="E297" s="128"/>
      <c r="F297" s="128"/>
      <c r="G297" s="128"/>
      <c r="H297" s="124"/>
      <c r="I297" s="129"/>
      <c r="K297" s="86"/>
      <c r="L297" s="87"/>
      <c r="O297" s="92"/>
      <c r="Q297" s="93"/>
      <c r="S297" s="100"/>
      <c r="T297" s="91"/>
      <c r="U297" s="101"/>
      <c r="V297" s="61"/>
      <c r="W297" s="61"/>
    </row>
    <row r="298" spans="3:23" x14ac:dyDescent="0.25">
      <c r="C298" s="125"/>
      <c r="D298" s="126"/>
      <c r="E298" s="126"/>
      <c r="F298" s="126"/>
      <c r="G298" s="126"/>
      <c r="H298" s="124"/>
      <c r="I298" s="129"/>
      <c r="K298" s="86"/>
      <c r="L298" s="87"/>
      <c r="O298" s="92"/>
      <c r="Q298" s="93"/>
      <c r="S298" s="100"/>
      <c r="T298" s="91"/>
      <c r="U298" s="101"/>
      <c r="V298" s="61"/>
      <c r="W298" s="61"/>
    </row>
    <row r="299" spans="3:23" x14ac:dyDescent="0.25">
      <c r="C299" s="127"/>
      <c r="D299" s="128"/>
      <c r="E299" s="128"/>
      <c r="F299" s="128"/>
      <c r="G299" s="128"/>
      <c r="H299" s="124"/>
      <c r="I299" s="129"/>
      <c r="K299" s="86"/>
      <c r="L299" s="87"/>
      <c r="O299" s="92"/>
      <c r="Q299" s="93"/>
      <c r="S299" s="100"/>
      <c r="T299" s="91"/>
      <c r="U299" s="101"/>
      <c r="V299" s="61"/>
      <c r="W299" s="61"/>
    </row>
    <row r="300" spans="3:23" x14ac:dyDescent="0.25">
      <c r="C300" s="125"/>
      <c r="D300" s="126"/>
      <c r="E300" s="126"/>
      <c r="F300" s="126"/>
      <c r="G300" s="126"/>
      <c r="H300" s="124"/>
      <c r="I300" s="129"/>
      <c r="K300" s="86"/>
      <c r="L300" s="87"/>
      <c r="O300" s="92"/>
      <c r="Q300" s="93"/>
      <c r="S300" s="100"/>
      <c r="T300" s="91"/>
      <c r="U300" s="101"/>
      <c r="V300" s="61"/>
      <c r="W300" s="61"/>
    </row>
    <row r="301" spans="3:23" x14ac:dyDescent="0.25">
      <c r="C301" s="127"/>
      <c r="D301" s="128"/>
      <c r="E301" s="128"/>
      <c r="F301" s="128"/>
      <c r="G301" s="128"/>
      <c r="H301" s="124"/>
      <c r="I301" s="129"/>
      <c r="K301" s="86"/>
      <c r="L301" s="87"/>
      <c r="O301" s="92"/>
      <c r="Q301" s="93"/>
      <c r="S301" s="100"/>
      <c r="T301" s="91"/>
      <c r="U301" s="101"/>
      <c r="V301" s="61"/>
      <c r="W301" s="61"/>
    </row>
    <row r="302" spans="3:23" x14ac:dyDescent="0.25">
      <c r="C302" s="125"/>
      <c r="D302" s="126"/>
      <c r="E302" s="126"/>
      <c r="F302" s="126"/>
      <c r="G302" s="126"/>
      <c r="H302" s="124"/>
      <c r="I302" s="129"/>
      <c r="K302" s="86"/>
      <c r="L302" s="87"/>
      <c r="O302" s="92"/>
      <c r="Q302" s="93"/>
      <c r="S302" s="100"/>
      <c r="T302" s="91"/>
      <c r="U302" s="101"/>
      <c r="V302" s="61"/>
      <c r="W302" s="61"/>
    </row>
    <row r="303" spans="3:23" x14ac:dyDescent="0.25">
      <c r="C303" s="127"/>
      <c r="D303" s="128"/>
      <c r="E303" s="128"/>
      <c r="F303" s="128"/>
      <c r="G303" s="128"/>
      <c r="H303" s="124"/>
      <c r="I303" s="129"/>
      <c r="K303" s="86"/>
      <c r="L303" s="87"/>
      <c r="O303" s="92"/>
      <c r="Q303" s="93"/>
      <c r="S303" s="100"/>
      <c r="T303" s="91"/>
      <c r="U303" s="101"/>
      <c r="V303" s="61"/>
      <c r="W303" s="61"/>
    </row>
    <row r="304" spans="3:23" x14ac:dyDescent="0.25">
      <c r="C304" s="125"/>
      <c r="D304" s="126"/>
      <c r="E304" s="126"/>
      <c r="F304" s="126"/>
      <c r="G304" s="126"/>
      <c r="H304" s="124"/>
      <c r="I304" s="129"/>
      <c r="K304" s="86"/>
      <c r="L304" s="87"/>
      <c r="O304" s="92"/>
      <c r="Q304" s="93"/>
      <c r="S304" s="100"/>
      <c r="T304" s="91"/>
      <c r="U304" s="101"/>
      <c r="V304" s="61"/>
      <c r="W304" s="61"/>
    </row>
    <row r="305" spans="3:23" x14ac:dyDescent="0.25">
      <c r="C305" s="127"/>
      <c r="D305" s="128"/>
      <c r="E305" s="128"/>
      <c r="F305" s="128"/>
      <c r="G305" s="128"/>
      <c r="H305" s="124"/>
      <c r="I305" s="129"/>
      <c r="K305" s="86"/>
      <c r="L305" s="87"/>
      <c r="O305" s="92"/>
      <c r="Q305" s="93"/>
      <c r="S305" s="100"/>
      <c r="T305" s="91"/>
      <c r="U305" s="101"/>
      <c r="V305" s="61"/>
      <c r="W305" s="61"/>
    </row>
    <row r="306" spans="3:23" x14ac:dyDescent="0.25">
      <c r="C306" s="125"/>
      <c r="D306" s="126"/>
      <c r="E306" s="126"/>
      <c r="F306" s="126"/>
      <c r="G306" s="126"/>
      <c r="H306" s="124"/>
      <c r="I306" s="129"/>
      <c r="K306" s="86"/>
      <c r="L306" s="87"/>
      <c r="O306" s="92"/>
      <c r="Q306" s="93"/>
      <c r="S306" s="100"/>
      <c r="T306" s="91"/>
      <c r="U306" s="101"/>
      <c r="V306" s="61"/>
      <c r="W306" s="61"/>
    </row>
    <row r="307" spans="3:23" x14ac:dyDescent="0.25">
      <c r="C307" s="127"/>
      <c r="D307" s="128"/>
      <c r="E307" s="128"/>
      <c r="F307" s="128"/>
      <c r="G307" s="128"/>
      <c r="H307" s="124"/>
      <c r="I307" s="129"/>
      <c r="K307" s="86"/>
      <c r="L307" s="87"/>
      <c r="O307" s="92"/>
      <c r="Q307" s="93"/>
      <c r="S307" s="100"/>
      <c r="T307" s="91"/>
      <c r="U307" s="101"/>
      <c r="V307" s="61"/>
      <c r="W307" s="61"/>
    </row>
    <row r="308" spans="3:23" x14ac:dyDescent="0.25">
      <c r="C308" s="125"/>
      <c r="D308" s="126"/>
      <c r="E308" s="126"/>
      <c r="F308" s="126"/>
      <c r="G308" s="126"/>
      <c r="H308" s="124"/>
      <c r="I308" s="129"/>
      <c r="K308" s="86"/>
      <c r="L308" s="87"/>
      <c r="O308" s="92"/>
      <c r="Q308" s="93"/>
      <c r="S308" s="100"/>
      <c r="T308" s="91"/>
      <c r="U308" s="101"/>
      <c r="V308" s="61"/>
      <c r="W308" s="61"/>
    </row>
    <row r="309" spans="3:23" x14ac:dyDescent="0.25">
      <c r="C309" s="127"/>
      <c r="D309" s="128"/>
      <c r="E309" s="128"/>
      <c r="F309" s="128"/>
      <c r="G309" s="128"/>
      <c r="H309" s="124"/>
      <c r="I309" s="129"/>
      <c r="K309" s="86"/>
      <c r="L309" s="87"/>
      <c r="O309" s="92"/>
      <c r="Q309" s="93"/>
      <c r="S309" s="100"/>
      <c r="T309" s="91"/>
      <c r="U309" s="101"/>
      <c r="V309" s="61"/>
      <c r="W309" s="61"/>
    </row>
    <row r="310" spans="3:23" x14ac:dyDescent="0.25">
      <c r="C310" s="125"/>
      <c r="D310" s="126"/>
      <c r="E310" s="126"/>
      <c r="F310" s="126"/>
      <c r="G310" s="126"/>
      <c r="H310" s="124"/>
      <c r="I310" s="129"/>
      <c r="K310" s="86"/>
      <c r="L310" s="87"/>
      <c r="O310" s="92"/>
      <c r="Q310" s="93"/>
      <c r="S310" s="100"/>
      <c r="T310" s="91"/>
      <c r="U310" s="101"/>
      <c r="V310" s="61"/>
      <c r="W310" s="61"/>
    </row>
    <row r="311" spans="3:23" x14ac:dyDescent="0.25">
      <c r="C311" s="127"/>
      <c r="D311" s="128"/>
      <c r="E311" s="128"/>
      <c r="F311" s="128"/>
      <c r="G311" s="128"/>
      <c r="H311" s="124"/>
      <c r="I311" s="129"/>
      <c r="K311" s="86"/>
      <c r="L311" s="87"/>
      <c r="O311" s="92"/>
      <c r="Q311" s="93"/>
      <c r="S311" s="100"/>
      <c r="T311" s="91"/>
      <c r="U311" s="101"/>
      <c r="V311" s="61"/>
      <c r="W311" s="61"/>
    </row>
    <row r="312" spans="3:23" x14ac:dyDescent="0.25">
      <c r="C312" s="125"/>
      <c r="D312" s="126"/>
      <c r="E312" s="126"/>
      <c r="F312" s="126"/>
      <c r="G312" s="126"/>
      <c r="H312" s="124"/>
      <c r="I312" s="129"/>
      <c r="K312" s="86"/>
      <c r="L312" s="87"/>
      <c r="O312" s="92"/>
      <c r="Q312" s="93"/>
      <c r="S312" s="100"/>
      <c r="T312" s="91"/>
      <c r="U312" s="101"/>
      <c r="V312" s="61"/>
      <c r="W312" s="61"/>
    </row>
    <row r="313" spans="3:23" x14ac:dyDescent="0.25">
      <c r="C313" s="127"/>
      <c r="D313" s="128"/>
      <c r="E313" s="128"/>
      <c r="F313" s="128"/>
      <c r="G313" s="128"/>
      <c r="H313" s="124"/>
      <c r="I313" s="129"/>
      <c r="K313" s="86"/>
      <c r="L313" s="87"/>
      <c r="O313" s="92"/>
      <c r="Q313" s="93"/>
      <c r="S313" s="100"/>
      <c r="T313" s="91"/>
      <c r="U313" s="101"/>
      <c r="V313" s="61"/>
      <c r="W313" s="61"/>
    </row>
    <row r="314" spans="3:23" x14ac:dyDescent="0.25">
      <c r="C314" s="125"/>
      <c r="D314" s="126"/>
      <c r="E314" s="126"/>
      <c r="F314" s="126"/>
      <c r="G314" s="126"/>
      <c r="H314" s="124"/>
      <c r="I314" s="129"/>
      <c r="K314" s="86"/>
      <c r="L314" s="87"/>
      <c r="O314" s="92"/>
      <c r="Q314" s="93"/>
      <c r="S314" s="100"/>
      <c r="T314" s="91"/>
      <c r="U314" s="101"/>
      <c r="V314" s="61"/>
      <c r="W314" s="61"/>
    </row>
    <row r="315" spans="3:23" x14ac:dyDescent="0.25">
      <c r="C315" s="127"/>
      <c r="D315" s="128"/>
      <c r="E315" s="128"/>
      <c r="F315" s="128"/>
      <c r="G315" s="128"/>
      <c r="H315" s="124"/>
      <c r="I315" s="129"/>
      <c r="K315" s="86"/>
      <c r="L315" s="87"/>
      <c r="O315" s="92"/>
      <c r="Q315" s="93"/>
      <c r="S315" s="100"/>
      <c r="T315" s="91"/>
      <c r="U315" s="101"/>
      <c r="V315" s="61"/>
      <c r="W315" s="61"/>
    </row>
    <row r="316" spans="3:23" x14ac:dyDescent="0.25">
      <c r="C316" s="125"/>
      <c r="D316" s="126"/>
      <c r="E316" s="126"/>
      <c r="F316" s="126"/>
      <c r="G316" s="126"/>
      <c r="H316" s="124"/>
      <c r="I316" s="129"/>
      <c r="K316" s="86"/>
      <c r="L316" s="87"/>
      <c r="O316" s="92"/>
      <c r="Q316" s="93"/>
      <c r="S316" s="100"/>
      <c r="T316" s="91"/>
      <c r="U316" s="101"/>
      <c r="V316" s="61"/>
      <c r="W316" s="61"/>
    </row>
    <row r="317" spans="3:23" x14ac:dyDescent="0.25">
      <c r="C317" s="127"/>
      <c r="D317" s="128"/>
      <c r="E317" s="128"/>
      <c r="F317" s="128"/>
      <c r="G317" s="128"/>
      <c r="H317" s="124"/>
      <c r="I317" s="129"/>
      <c r="K317" s="86"/>
      <c r="L317" s="87"/>
      <c r="O317" s="92"/>
      <c r="Q317" s="93"/>
      <c r="S317" s="100"/>
      <c r="T317" s="91"/>
      <c r="U317" s="101"/>
      <c r="V317" s="61"/>
      <c r="W317" s="61"/>
    </row>
    <row r="318" spans="3:23" x14ac:dyDescent="0.25">
      <c r="C318" s="125"/>
      <c r="D318" s="126"/>
      <c r="E318" s="126"/>
      <c r="F318" s="126"/>
      <c r="G318" s="126"/>
      <c r="H318" s="124"/>
      <c r="I318" s="129"/>
      <c r="K318" s="86"/>
      <c r="L318" s="87"/>
      <c r="O318" s="92"/>
      <c r="Q318" s="93"/>
      <c r="S318" s="100"/>
      <c r="T318" s="91"/>
      <c r="U318" s="101"/>
      <c r="V318" s="61"/>
      <c r="W318" s="61"/>
    </row>
    <row r="319" spans="3:23" x14ac:dyDescent="0.25">
      <c r="C319" s="127"/>
      <c r="D319" s="128"/>
      <c r="E319" s="128"/>
      <c r="F319" s="128"/>
      <c r="G319" s="128"/>
      <c r="H319" s="124"/>
      <c r="I319" s="129"/>
      <c r="K319" s="86"/>
      <c r="L319" s="87"/>
      <c r="O319" s="92"/>
      <c r="Q319" s="93"/>
      <c r="S319" s="100"/>
      <c r="T319" s="91"/>
      <c r="U319" s="101"/>
      <c r="V319" s="61"/>
      <c r="W319" s="61"/>
    </row>
    <row r="320" spans="3:23" x14ac:dyDescent="0.25">
      <c r="C320" s="125"/>
      <c r="D320" s="126"/>
      <c r="E320" s="126"/>
      <c r="F320" s="126"/>
      <c r="G320" s="126"/>
      <c r="H320" s="124"/>
      <c r="I320" s="129"/>
      <c r="K320" s="86"/>
      <c r="L320" s="87"/>
      <c r="O320" s="92"/>
      <c r="Q320" s="93"/>
      <c r="S320" s="100"/>
      <c r="T320" s="91"/>
      <c r="U320" s="101"/>
      <c r="V320" s="61"/>
      <c r="W320" s="61"/>
    </row>
    <row r="321" spans="3:23" x14ac:dyDescent="0.25">
      <c r="C321" s="127"/>
      <c r="D321" s="128"/>
      <c r="E321" s="128"/>
      <c r="F321" s="128"/>
      <c r="G321" s="128"/>
      <c r="H321" s="124"/>
      <c r="I321" s="129"/>
      <c r="K321" s="86"/>
      <c r="L321" s="87"/>
      <c r="O321" s="92"/>
      <c r="Q321" s="93"/>
      <c r="S321" s="100"/>
      <c r="T321" s="91"/>
      <c r="U321" s="101"/>
      <c r="V321" s="61"/>
      <c r="W321" s="61"/>
    </row>
    <row r="322" spans="3:23" x14ac:dyDescent="0.25">
      <c r="C322" s="125"/>
      <c r="D322" s="126"/>
      <c r="E322" s="126"/>
      <c r="F322" s="126"/>
      <c r="G322" s="126"/>
      <c r="H322" s="124"/>
      <c r="I322" s="129"/>
      <c r="K322" s="86"/>
      <c r="L322" s="87"/>
      <c r="O322" s="92"/>
      <c r="Q322" s="93"/>
      <c r="S322" s="100"/>
      <c r="T322" s="91"/>
      <c r="U322" s="101"/>
      <c r="V322" s="61"/>
      <c r="W322" s="61"/>
    </row>
    <row r="323" spans="3:23" x14ac:dyDescent="0.25">
      <c r="C323" s="127"/>
      <c r="D323" s="128"/>
      <c r="E323" s="128"/>
      <c r="F323" s="128"/>
      <c r="G323" s="128"/>
      <c r="H323" s="124"/>
      <c r="I323" s="129"/>
      <c r="K323" s="86"/>
      <c r="L323" s="87"/>
      <c r="O323" s="92"/>
      <c r="Q323" s="93"/>
      <c r="S323" s="100"/>
      <c r="T323" s="91"/>
      <c r="U323" s="101"/>
      <c r="V323" s="61"/>
      <c r="W323" s="61"/>
    </row>
    <row r="324" spans="3:23" x14ac:dyDescent="0.25">
      <c r="C324" s="125"/>
      <c r="D324" s="126"/>
      <c r="E324" s="126"/>
      <c r="F324" s="126"/>
      <c r="G324" s="126"/>
      <c r="H324" s="124"/>
      <c r="I324" s="129"/>
      <c r="K324" s="86"/>
      <c r="L324" s="87"/>
      <c r="O324" s="92"/>
      <c r="Q324" s="93"/>
      <c r="S324" s="100"/>
      <c r="T324" s="91"/>
      <c r="U324" s="101"/>
      <c r="V324" s="61"/>
      <c r="W324" s="61"/>
    </row>
    <row r="325" spans="3:23" x14ac:dyDescent="0.25">
      <c r="C325" s="127"/>
      <c r="D325" s="128"/>
      <c r="E325" s="128"/>
      <c r="F325" s="128"/>
      <c r="G325" s="128"/>
      <c r="H325" s="124"/>
      <c r="I325" s="129"/>
      <c r="K325" s="86"/>
      <c r="L325" s="87"/>
      <c r="O325" s="92"/>
      <c r="Q325" s="93"/>
      <c r="S325" s="100"/>
      <c r="T325" s="91"/>
      <c r="U325" s="101"/>
      <c r="V325" s="61"/>
      <c r="W325" s="61"/>
    </row>
    <row r="326" spans="3:23" x14ac:dyDescent="0.25">
      <c r="C326" s="125"/>
      <c r="D326" s="126"/>
      <c r="E326" s="126"/>
      <c r="F326" s="126"/>
      <c r="G326" s="126"/>
      <c r="H326" s="124"/>
      <c r="I326" s="129"/>
      <c r="K326" s="86"/>
      <c r="L326" s="87"/>
      <c r="O326" s="92"/>
      <c r="Q326" s="93"/>
      <c r="S326" s="100"/>
      <c r="T326" s="91"/>
      <c r="U326" s="101"/>
      <c r="V326" s="61"/>
      <c r="W326" s="61"/>
    </row>
    <row r="327" spans="3:23" x14ac:dyDescent="0.25">
      <c r="C327" s="127"/>
      <c r="D327" s="128"/>
      <c r="E327" s="128"/>
      <c r="F327" s="128"/>
      <c r="G327" s="128"/>
      <c r="H327" s="124"/>
      <c r="I327" s="129"/>
      <c r="K327" s="86"/>
      <c r="L327" s="87"/>
      <c r="O327" s="92"/>
      <c r="Q327" s="93"/>
      <c r="S327" s="100"/>
      <c r="T327" s="91"/>
      <c r="U327" s="101"/>
      <c r="V327" s="61"/>
      <c r="W327" s="61"/>
    </row>
    <row r="328" spans="3:23" x14ac:dyDescent="0.25">
      <c r="C328" s="125"/>
      <c r="D328" s="126"/>
      <c r="E328" s="126"/>
      <c r="F328" s="126"/>
      <c r="G328" s="126"/>
      <c r="H328" s="124"/>
      <c r="I328" s="129"/>
      <c r="K328" s="86"/>
      <c r="L328" s="87"/>
      <c r="O328" s="92"/>
      <c r="Q328" s="93"/>
      <c r="S328" s="100"/>
      <c r="T328" s="91"/>
      <c r="U328" s="101"/>
      <c r="V328" s="61"/>
      <c r="W328" s="61"/>
    </row>
    <row r="329" spans="3:23" x14ac:dyDescent="0.25">
      <c r="C329" s="127"/>
      <c r="D329" s="128"/>
      <c r="E329" s="128"/>
      <c r="F329" s="128"/>
      <c r="G329" s="128"/>
      <c r="H329" s="124"/>
      <c r="I329" s="129"/>
      <c r="K329" s="86"/>
      <c r="L329" s="87"/>
      <c r="O329" s="92"/>
      <c r="Q329" s="93"/>
      <c r="S329" s="100"/>
      <c r="T329" s="91"/>
      <c r="U329" s="101"/>
      <c r="V329" s="61"/>
      <c r="W329" s="61"/>
    </row>
    <row r="330" spans="3:23" x14ac:dyDescent="0.25">
      <c r="C330" s="125"/>
      <c r="D330" s="126"/>
      <c r="E330" s="126"/>
      <c r="F330" s="126"/>
      <c r="G330" s="126"/>
      <c r="H330" s="124"/>
      <c r="I330" s="129"/>
      <c r="K330" s="86"/>
      <c r="L330" s="87"/>
      <c r="O330" s="92"/>
      <c r="Q330" s="93"/>
      <c r="S330" s="100"/>
      <c r="T330" s="91"/>
      <c r="U330" s="101"/>
      <c r="V330" s="61"/>
      <c r="W330" s="61"/>
    </row>
    <row r="331" spans="3:23" x14ac:dyDescent="0.25">
      <c r="C331" s="127"/>
      <c r="D331" s="128"/>
      <c r="E331" s="128"/>
      <c r="F331" s="128"/>
      <c r="G331" s="128"/>
      <c r="H331" s="124"/>
      <c r="I331" s="129"/>
      <c r="K331" s="86"/>
      <c r="L331" s="87"/>
      <c r="O331" s="92"/>
      <c r="Q331" s="93"/>
      <c r="S331" s="100"/>
      <c r="T331" s="91"/>
      <c r="U331" s="101"/>
      <c r="V331" s="61"/>
      <c r="W331" s="61"/>
    </row>
    <row r="332" spans="3:23" x14ac:dyDescent="0.25">
      <c r="C332" s="125"/>
      <c r="D332" s="126"/>
      <c r="E332" s="126"/>
      <c r="F332" s="126"/>
      <c r="G332" s="126"/>
      <c r="H332" s="124"/>
      <c r="I332" s="129"/>
      <c r="K332" s="86"/>
      <c r="L332" s="87"/>
      <c r="O332" s="92"/>
      <c r="Q332" s="93"/>
      <c r="S332" s="100"/>
      <c r="T332" s="91"/>
      <c r="U332" s="101"/>
      <c r="V332" s="61"/>
      <c r="W332" s="61"/>
    </row>
    <row r="333" spans="3:23" x14ac:dyDescent="0.25">
      <c r="C333" s="127"/>
      <c r="D333" s="128"/>
      <c r="E333" s="128"/>
      <c r="F333" s="128"/>
      <c r="G333" s="128"/>
      <c r="H333" s="124"/>
      <c r="I333" s="129"/>
      <c r="K333" s="86"/>
      <c r="L333" s="87"/>
      <c r="O333" s="92"/>
      <c r="Q333" s="93"/>
      <c r="S333" s="100"/>
      <c r="T333" s="91"/>
      <c r="U333" s="101"/>
      <c r="V333" s="61"/>
      <c r="W333" s="61"/>
    </row>
    <row r="334" spans="3:23" x14ac:dyDescent="0.25">
      <c r="C334" s="125"/>
      <c r="D334" s="126"/>
      <c r="E334" s="126"/>
      <c r="F334" s="126"/>
      <c r="G334" s="126"/>
      <c r="H334" s="124"/>
      <c r="I334" s="129"/>
      <c r="K334" s="86"/>
      <c r="L334" s="87"/>
      <c r="O334" s="92"/>
      <c r="Q334" s="93"/>
      <c r="S334" s="100"/>
      <c r="T334" s="91"/>
      <c r="U334" s="101"/>
      <c r="V334" s="61"/>
      <c r="W334" s="61"/>
    </row>
    <row r="335" spans="3:23" x14ac:dyDescent="0.25">
      <c r="C335" s="127"/>
      <c r="D335" s="128"/>
      <c r="E335" s="128"/>
      <c r="F335" s="128"/>
      <c r="G335" s="128"/>
      <c r="H335" s="124"/>
      <c r="I335" s="129"/>
      <c r="K335" s="86"/>
      <c r="L335" s="87"/>
      <c r="O335" s="92"/>
      <c r="Q335" s="93"/>
      <c r="S335" s="100"/>
      <c r="T335" s="91"/>
      <c r="U335" s="101"/>
      <c r="V335" s="61"/>
      <c r="W335" s="61"/>
    </row>
    <row r="336" spans="3:23" x14ac:dyDescent="0.25">
      <c r="C336" s="125"/>
      <c r="D336" s="126"/>
      <c r="E336" s="126"/>
      <c r="F336" s="126"/>
      <c r="G336" s="126"/>
      <c r="H336" s="124"/>
      <c r="I336" s="129"/>
      <c r="K336" s="86"/>
      <c r="L336" s="87"/>
      <c r="O336" s="92"/>
      <c r="Q336" s="93"/>
      <c r="S336" s="100"/>
      <c r="T336" s="91"/>
      <c r="U336" s="101"/>
      <c r="V336" s="61"/>
      <c r="W336" s="61"/>
    </row>
    <row r="337" spans="3:23" x14ac:dyDescent="0.25">
      <c r="C337" s="127"/>
      <c r="D337" s="128"/>
      <c r="E337" s="128"/>
      <c r="F337" s="128"/>
      <c r="G337" s="128"/>
      <c r="H337" s="124"/>
      <c r="I337" s="129"/>
      <c r="K337" s="86"/>
      <c r="L337" s="87"/>
      <c r="O337" s="92"/>
      <c r="Q337" s="93"/>
      <c r="S337" s="100"/>
      <c r="T337" s="91"/>
      <c r="U337" s="101"/>
      <c r="V337" s="61"/>
      <c r="W337" s="61"/>
    </row>
    <row r="338" spans="3:23" x14ac:dyDescent="0.25">
      <c r="C338" s="125"/>
      <c r="D338" s="126"/>
      <c r="E338" s="126"/>
      <c r="F338" s="126"/>
      <c r="G338" s="126"/>
      <c r="H338" s="124"/>
      <c r="I338" s="129"/>
      <c r="K338" s="86"/>
      <c r="L338" s="87"/>
      <c r="O338" s="92"/>
      <c r="Q338" s="93"/>
      <c r="S338" s="100"/>
      <c r="T338" s="91"/>
      <c r="U338" s="101"/>
      <c r="V338" s="61"/>
      <c r="W338" s="61"/>
    </row>
    <row r="339" spans="3:23" x14ac:dyDescent="0.25">
      <c r="C339" s="127"/>
      <c r="D339" s="128"/>
      <c r="E339" s="128"/>
      <c r="F339" s="128"/>
      <c r="G339" s="128"/>
      <c r="H339" s="124"/>
      <c r="I339" s="129"/>
      <c r="K339" s="86"/>
      <c r="L339" s="87"/>
      <c r="O339" s="92"/>
      <c r="Q339" s="93"/>
      <c r="S339" s="100"/>
      <c r="T339" s="91"/>
      <c r="U339" s="101"/>
      <c r="V339" s="61"/>
      <c r="W339" s="61"/>
    </row>
    <row r="340" spans="3:23" x14ac:dyDescent="0.25">
      <c r="C340" s="125"/>
      <c r="D340" s="126"/>
      <c r="E340" s="126"/>
      <c r="F340" s="126"/>
      <c r="G340" s="126"/>
      <c r="H340" s="124"/>
      <c r="I340" s="129"/>
      <c r="K340" s="86"/>
      <c r="L340" s="87"/>
      <c r="O340" s="92"/>
      <c r="Q340" s="93"/>
      <c r="S340" s="100"/>
      <c r="T340" s="91"/>
      <c r="U340" s="101"/>
      <c r="V340" s="61"/>
      <c r="W340" s="61"/>
    </row>
    <row r="341" spans="3:23" x14ac:dyDescent="0.25">
      <c r="C341" s="127"/>
      <c r="D341" s="128"/>
      <c r="E341" s="128"/>
      <c r="F341" s="128"/>
      <c r="G341" s="128"/>
      <c r="H341" s="124"/>
      <c r="I341" s="129"/>
      <c r="K341" s="86"/>
      <c r="L341" s="87"/>
      <c r="O341" s="92"/>
      <c r="Q341" s="93"/>
      <c r="S341" s="100"/>
      <c r="T341" s="91"/>
      <c r="U341" s="101"/>
      <c r="V341" s="61"/>
      <c r="W341" s="61"/>
    </row>
    <row r="342" spans="3:23" x14ac:dyDescent="0.25">
      <c r="C342" s="125"/>
      <c r="D342" s="126"/>
      <c r="E342" s="126"/>
      <c r="F342" s="126"/>
      <c r="G342" s="126"/>
      <c r="H342" s="124"/>
      <c r="I342" s="129"/>
      <c r="K342" s="86"/>
      <c r="L342" s="87"/>
      <c r="O342" s="92"/>
      <c r="Q342" s="93"/>
      <c r="S342" s="100"/>
      <c r="T342" s="91"/>
      <c r="U342" s="101"/>
      <c r="V342" s="61"/>
      <c r="W342" s="61"/>
    </row>
    <row r="343" spans="3:23" x14ac:dyDescent="0.25">
      <c r="C343" s="127"/>
      <c r="D343" s="128"/>
      <c r="E343" s="128"/>
      <c r="F343" s="128"/>
      <c r="G343" s="128"/>
      <c r="H343" s="124"/>
      <c r="I343" s="129"/>
      <c r="K343" s="86"/>
      <c r="L343" s="87"/>
      <c r="O343" s="92"/>
      <c r="Q343" s="93"/>
      <c r="S343" s="100"/>
      <c r="T343" s="91"/>
      <c r="U343" s="101"/>
      <c r="V343" s="61"/>
      <c r="W343" s="61"/>
    </row>
    <row r="344" spans="3:23" x14ac:dyDescent="0.25">
      <c r="C344" s="125"/>
      <c r="D344" s="126"/>
      <c r="E344" s="126"/>
      <c r="F344" s="126"/>
      <c r="G344" s="126"/>
      <c r="H344" s="124"/>
      <c r="I344" s="129"/>
      <c r="K344" s="86"/>
      <c r="L344" s="87"/>
      <c r="O344" s="92"/>
      <c r="Q344" s="93"/>
      <c r="S344" s="100"/>
      <c r="T344" s="91"/>
      <c r="U344" s="101"/>
      <c r="V344" s="61"/>
      <c r="W344" s="61"/>
    </row>
    <row r="345" spans="3:23" x14ac:dyDescent="0.25">
      <c r="C345" s="127"/>
      <c r="D345" s="128"/>
      <c r="E345" s="128"/>
      <c r="F345" s="128"/>
      <c r="G345" s="128"/>
      <c r="H345" s="124"/>
      <c r="I345" s="129"/>
      <c r="K345" s="86"/>
      <c r="L345" s="87"/>
      <c r="O345" s="92"/>
      <c r="Q345" s="93"/>
      <c r="S345" s="100"/>
      <c r="T345" s="91"/>
      <c r="U345" s="101"/>
      <c r="V345" s="61"/>
      <c r="W345" s="61"/>
    </row>
    <row r="346" spans="3:23" x14ac:dyDescent="0.25">
      <c r="C346" s="125"/>
      <c r="D346" s="126"/>
      <c r="E346" s="126"/>
      <c r="F346" s="126"/>
      <c r="G346" s="126"/>
      <c r="H346" s="124"/>
      <c r="I346" s="129"/>
      <c r="K346" s="86"/>
      <c r="L346" s="87"/>
      <c r="O346" s="92"/>
      <c r="Q346" s="93"/>
      <c r="S346" s="100"/>
      <c r="T346" s="91"/>
      <c r="U346" s="101"/>
      <c r="V346" s="61"/>
      <c r="W346" s="61"/>
    </row>
    <row r="347" spans="3:23" x14ac:dyDescent="0.25">
      <c r="C347" s="127"/>
      <c r="D347" s="128"/>
      <c r="E347" s="128"/>
      <c r="F347" s="128"/>
      <c r="G347" s="128"/>
      <c r="H347" s="124"/>
      <c r="I347" s="129"/>
      <c r="K347" s="86"/>
      <c r="L347" s="87"/>
      <c r="O347" s="92"/>
      <c r="Q347" s="93"/>
      <c r="S347" s="100"/>
      <c r="T347" s="91"/>
      <c r="U347" s="101"/>
      <c r="V347" s="61"/>
      <c r="W347" s="61"/>
    </row>
    <row r="348" spans="3:23" x14ac:dyDescent="0.25">
      <c r="C348" s="125"/>
      <c r="D348" s="126"/>
      <c r="E348" s="126"/>
      <c r="F348" s="126"/>
      <c r="G348" s="126"/>
      <c r="H348" s="124"/>
      <c r="I348" s="129"/>
      <c r="K348" s="86"/>
      <c r="L348" s="87"/>
      <c r="O348" s="92"/>
      <c r="Q348" s="93"/>
      <c r="S348" s="100"/>
      <c r="T348" s="91"/>
      <c r="U348" s="101"/>
      <c r="V348" s="61"/>
      <c r="W348" s="61"/>
    </row>
    <row r="349" spans="3:23" x14ac:dyDescent="0.25">
      <c r="C349" s="127"/>
      <c r="D349" s="128"/>
      <c r="E349" s="128"/>
      <c r="F349" s="128"/>
      <c r="G349" s="128"/>
      <c r="H349" s="124"/>
      <c r="I349" s="129"/>
      <c r="K349" s="86"/>
      <c r="L349" s="87"/>
      <c r="O349" s="92"/>
      <c r="Q349" s="93"/>
      <c r="S349" s="100"/>
      <c r="T349" s="91"/>
      <c r="U349" s="101"/>
      <c r="V349" s="61"/>
      <c r="W349" s="61"/>
    </row>
    <row r="350" spans="3:23" x14ac:dyDescent="0.25">
      <c r="C350" s="125"/>
      <c r="D350" s="126"/>
      <c r="E350" s="126"/>
      <c r="F350" s="126"/>
      <c r="G350" s="126"/>
      <c r="H350" s="124"/>
      <c r="I350" s="129"/>
      <c r="K350" s="86"/>
      <c r="L350" s="87"/>
      <c r="O350" s="92"/>
      <c r="Q350" s="93"/>
      <c r="S350" s="100"/>
      <c r="T350" s="91"/>
      <c r="U350" s="101"/>
      <c r="V350" s="61"/>
      <c r="W350" s="61"/>
    </row>
    <row r="351" spans="3:23" x14ac:dyDescent="0.25">
      <c r="C351" s="127"/>
      <c r="D351" s="128"/>
      <c r="E351" s="128"/>
      <c r="F351" s="128"/>
      <c r="G351" s="128"/>
      <c r="H351" s="124"/>
      <c r="I351" s="129"/>
      <c r="K351" s="86"/>
      <c r="L351" s="87"/>
      <c r="O351" s="92"/>
      <c r="Q351" s="93"/>
      <c r="S351" s="100"/>
      <c r="T351" s="91"/>
      <c r="U351" s="101"/>
      <c r="V351" s="61"/>
      <c r="W351" s="61"/>
    </row>
    <row r="352" spans="3:23" x14ac:dyDescent="0.25">
      <c r="C352" s="125"/>
      <c r="D352" s="126"/>
      <c r="E352" s="126"/>
      <c r="F352" s="126"/>
      <c r="G352" s="126"/>
      <c r="H352" s="124"/>
      <c r="I352" s="129"/>
      <c r="K352" s="86"/>
      <c r="L352" s="87"/>
      <c r="O352" s="92"/>
      <c r="Q352" s="93"/>
      <c r="S352" s="100"/>
      <c r="T352" s="91"/>
      <c r="U352" s="101"/>
      <c r="V352" s="61"/>
      <c r="W352" s="61"/>
    </row>
    <row r="353" spans="3:23" x14ac:dyDescent="0.25">
      <c r="C353" s="127"/>
      <c r="D353" s="128"/>
      <c r="E353" s="128"/>
      <c r="F353" s="128"/>
      <c r="G353" s="128"/>
      <c r="H353" s="124"/>
      <c r="I353" s="129"/>
      <c r="K353" s="86"/>
      <c r="L353" s="87"/>
      <c r="O353" s="92"/>
      <c r="Q353" s="93"/>
      <c r="S353" s="100"/>
      <c r="T353" s="91"/>
      <c r="U353" s="101"/>
      <c r="V353" s="61"/>
      <c r="W353" s="61"/>
    </row>
    <row r="354" spans="3:23" x14ac:dyDescent="0.25">
      <c r="C354" s="125"/>
      <c r="D354" s="126"/>
      <c r="E354" s="126"/>
      <c r="F354" s="126"/>
      <c r="G354" s="126"/>
      <c r="H354" s="124"/>
      <c r="I354" s="129"/>
      <c r="K354" s="86"/>
      <c r="L354" s="87"/>
      <c r="O354" s="92"/>
      <c r="Q354" s="93"/>
      <c r="S354" s="100"/>
      <c r="T354" s="91"/>
      <c r="U354" s="101"/>
      <c r="V354" s="61"/>
      <c r="W354" s="61"/>
    </row>
    <row r="355" spans="3:23" x14ac:dyDescent="0.25">
      <c r="C355" s="127"/>
      <c r="D355" s="128"/>
      <c r="E355" s="128"/>
      <c r="F355" s="128"/>
      <c r="G355" s="128"/>
      <c r="H355" s="124"/>
      <c r="I355" s="129"/>
      <c r="K355" s="86"/>
      <c r="L355" s="87"/>
      <c r="O355" s="92"/>
      <c r="Q355" s="93"/>
      <c r="S355" s="100"/>
      <c r="T355" s="91"/>
      <c r="U355" s="101"/>
      <c r="V355" s="61"/>
      <c r="W355" s="61"/>
    </row>
    <row r="356" spans="3:23" x14ac:dyDescent="0.25">
      <c r="C356" s="125"/>
      <c r="D356" s="126"/>
      <c r="E356" s="126"/>
      <c r="F356" s="126"/>
      <c r="G356" s="126"/>
      <c r="H356" s="124"/>
      <c r="I356" s="129"/>
      <c r="K356" s="86"/>
      <c r="L356" s="87"/>
      <c r="O356" s="92"/>
      <c r="Q356" s="93"/>
      <c r="S356" s="100"/>
      <c r="T356" s="91"/>
      <c r="U356" s="101"/>
      <c r="V356" s="61"/>
      <c r="W356" s="61"/>
    </row>
    <row r="357" spans="3:23" x14ac:dyDescent="0.25">
      <c r="C357" s="127"/>
      <c r="D357" s="128"/>
      <c r="E357" s="128"/>
      <c r="F357" s="128"/>
      <c r="G357" s="128"/>
      <c r="H357" s="124"/>
      <c r="I357" s="129"/>
      <c r="K357" s="86"/>
      <c r="L357" s="87"/>
      <c r="O357" s="92"/>
      <c r="Q357" s="93"/>
      <c r="S357" s="100"/>
      <c r="T357" s="91"/>
      <c r="U357" s="101"/>
      <c r="V357" s="61"/>
      <c r="W357" s="61"/>
    </row>
    <row r="358" spans="3:23" x14ac:dyDescent="0.25">
      <c r="C358" s="125"/>
      <c r="D358" s="126"/>
      <c r="E358" s="126"/>
      <c r="F358" s="126"/>
      <c r="G358" s="126"/>
      <c r="H358" s="124"/>
      <c r="I358" s="129"/>
      <c r="K358" s="86"/>
      <c r="L358" s="87"/>
      <c r="O358" s="92"/>
      <c r="Q358" s="93"/>
      <c r="S358" s="100"/>
      <c r="T358" s="91"/>
      <c r="U358" s="101"/>
      <c r="V358" s="61"/>
      <c r="W358" s="61"/>
    </row>
    <row r="359" spans="3:23" x14ac:dyDescent="0.25">
      <c r="C359" s="127"/>
      <c r="D359" s="128"/>
      <c r="E359" s="128"/>
      <c r="F359" s="128"/>
      <c r="G359" s="128"/>
      <c r="H359" s="124"/>
      <c r="I359" s="129"/>
      <c r="K359" s="86"/>
      <c r="L359" s="87"/>
      <c r="O359" s="92"/>
      <c r="Q359" s="93"/>
      <c r="S359" s="100"/>
      <c r="T359" s="91"/>
      <c r="U359" s="101"/>
      <c r="V359" s="61"/>
      <c r="W359" s="61"/>
    </row>
    <row r="360" spans="3:23" x14ac:dyDescent="0.25">
      <c r="C360" s="125"/>
      <c r="D360" s="126"/>
      <c r="E360" s="126"/>
      <c r="F360" s="126"/>
      <c r="G360" s="126"/>
      <c r="H360" s="124"/>
      <c r="I360" s="129"/>
      <c r="K360" s="86"/>
      <c r="L360" s="87"/>
      <c r="O360" s="92"/>
      <c r="Q360" s="93"/>
      <c r="S360" s="100"/>
      <c r="T360" s="91"/>
      <c r="U360" s="101"/>
      <c r="V360" s="61"/>
      <c r="W360" s="61"/>
    </row>
    <row r="361" spans="3:23" x14ac:dyDescent="0.25">
      <c r="C361" s="127"/>
      <c r="D361" s="128"/>
      <c r="E361" s="128"/>
      <c r="F361" s="128"/>
      <c r="G361" s="128"/>
      <c r="H361" s="124"/>
      <c r="I361" s="129"/>
      <c r="K361" s="86"/>
      <c r="L361" s="87"/>
      <c r="O361" s="92"/>
      <c r="Q361" s="93"/>
      <c r="S361" s="100"/>
      <c r="T361" s="91"/>
      <c r="U361" s="101"/>
      <c r="V361" s="61"/>
      <c r="W361" s="61"/>
    </row>
    <row r="362" spans="3:23" x14ac:dyDescent="0.25">
      <c r="C362" s="125"/>
      <c r="D362" s="126"/>
      <c r="E362" s="126"/>
      <c r="F362" s="126"/>
      <c r="G362" s="126"/>
      <c r="H362" s="124"/>
      <c r="I362" s="129"/>
      <c r="K362" s="86"/>
      <c r="L362" s="87"/>
      <c r="O362" s="92"/>
      <c r="Q362" s="93"/>
      <c r="S362" s="100"/>
      <c r="T362" s="91"/>
      <c r="U362" s="101"/>
      <c r="V362" s="61"/>
      <c r="W362" s="61"/>
    </row>
    <row r="363" spans="3:23" x14ac:dyDescent="0.25">
      <c r="C363" s="127"/>
      <c r="D363" s="128"/>
      <c r="E363" s="128"/>
      <c r="F363" s="128"/>
      <c r="G363" s="128"/>
      <c r="H363" s="124"/>
      <c r="I363" s="129"/>
      <c r="K363" s="86"/>
      <c r="L363" s="87"/>
      <c r="O363" s="92"/>
      <c r="Q363" s="93"/>
      <c r="S363" s="100"/>
      <c r="T363" s="91"/>
      <c r="U363" s="101"/>
      <c r="V363" s="61"/>
      <c r="W363" s="61"/>
    </row>
    <row r="364" spans="3:23" x14ac:dyDescent="0.25">
      <c r="C364" s="125"/>
      <c r="D364" s="126"/>
      <c r="E364" s="126"/>
      <c r="F364" s="126"/>
      <c r="G364" s="126"/>
      <c r="H364" s="124"/>
      <c r="I364" s="129"/>
      <c r="K364" s="86"/>
      <c r="L364" s="87"/>
      <c r="O364" s="92"/>
      <c r="Q364" s="93"/>
      <c r="S364" s="100"/>
      <c r="T364" s="91"/>
      <c r="U364" s="101"/>
      <c r="V364" s="61"/>
      <c r="W364" s="61"/>
    </row>
    <row r="365" spans="3:23" x14ac:dyDescent="0.25">
      <c r="C365" s="127"/>
      <c r="D365" s="128"/>
      <c r="E365" s="128"/>
      <c r="F365" s="128"/>
      <c r="G365" s="128"/>
      <c r="H365" s="124"/>
      <c r="I365" s="129"/>
      <c r="K365" s="86"/>
      <c r="L365" s="87"/>
      <c r="O365" s="92"/>
      <c r="Q365" s="93"/>
      <c r="S365" s="100"/>
      <c r="T365" s="91"/>
      <c r="U365" s="101"/>
      <c r="V365" s="61"/>
      <c r="W365" s="61"/>
    </row>
    <row r="366" spans="3:23" x14ac:dyDescent="0.25">
      <c r="C366" s="125"/>
      <c r="D366" s="126"/>
      <c r="E366" s="126"/>
      <c r="F366" s="126"/>
      <c r="G366" s="126"/>
      <c r="H366" s="124"/>
      <c r="I366" s="129"/>
      <c r="K366" s="86"/>
      <c r="L366" s="87"/>
      <c r="O366" s="92"/>
      <c r="Q366" s="93"/>
      <c r="S366" s="100"/>
      <c r="T366" s="91"/>
      <c r="U366" s="101"/>
      <c r="V366" s="61"/>
      <c r="W366" s="61"/>
    </row>
    <row r="367" spans="3:23" x14ac:dyDescent="0.25">
      <c r="C367" s="127"/>
      <c r="D367" s="128"/>
      <c r="E367" s="128"/>
      <c r="F367" s="128"/>
      <c r="G367" s="128"/>
      <c r="H367" s="124"/>
      <c r="I367" s="129"/>
      <c r="K367" s="86"/>
      <c r="L367" s="87"/>
      <c r="O367" s="92"/>
      <c r="Q367" s="93"/>
      <c r="S367" s="100"/>
      <c r="T367" s="91"/>
      <c r="U367" s="101"/>
      <c r="V367" s="61"/>
      <c r="W367" s="61"/>
    </row>
    <row r="368" spans="3:23" x14ac:dyDescent="0.25">
      <c r="C368" s="125"/>
      <c r="D368" s="126"/>
      <c r="E368" s="126"/>
      <c r="F368" s="126"/>
      <c r="G368" s="126"/>
      <c r="H368" s="124"/>
      <c r="I368" s="129"/>
      <c r="K368" s="86"/>
      <c r="L368" s="87"/>
      <c r="O368" s="92"/>
      <c r="Q368" s="93"/>
      <c r="S368" s="100"/>
      <c r="T368" s="91"/>
      <c r="U368" s="101"/>
      <c r="V368" s="61"/>
      <c r="W368" s="61"/>
    </row>
    <row r="369" spans="3:23" x14ac:dyDescent="0.25">
      <c r="C369" s="127"/>
      <c r="D369" s="128"/>
      <c r="E369" s="128"/>
      <c r="F369" s="128"/>
      <c r="G369" s="128"/>
      <c r="H369" s="124"/>
      <c r="I369" s="129"/>
      <c r="K369" s="86"/>
      <c r="L369" s="87"/>
      <c r="O369" s="92"/>
      <c r="Q369" s="93"/>
      <c r="S369" s="100"/>
      <c r="T369" s="91"/>
      <c r="U369" s="101"/>
      <c r="V369" s="61"/>
      <c r="W369" s="61"/>
    </row>
    <row r="370" spans="3:23" x14ac:dyDescent="0.25">
      <c r="C370" s="125"/>
      <c r="D370" s="126"/>
      <c r="E370" s="126"/>
      <c r="F370" s="126"/>
      <c r="G370" s="126"/>
      <c r="H370" s="124"/>
      <c r="I370" s="129"/>
      <c r="K370" s="86"/>
      <c r="L370" s="87"/>
      <c r="O370" s="92"/>
      <c r="Q370" s="93"/>
      <c r="S370" s="100"/>
      <c r="T370" s="91"/>
      <c r="U370" s="101"/>
      <c r="V370" s="61"/>
      <c r="W370" s="61"/>
    </row>
    <row r="371" spans="3:23" x14ac:dyDescent="0.25">
      <c r="C371" s="127"/>
      <c r="D371" s="128"/>
      <c r="E371" s="128"/>
      <c r="F371" s="128"/>
      <c r="G371" s="128"/>
      <c r="H371" s="124"/>
      <c r="I371" s="129"/>
      <c r="K371" s="86"/>
      <c r="L371" s="87"/>
      <c r="O371" s="92"/>
      <c r="Q371" s="93"/>
      <c r="S371" s="100"/>
      <c r="T371" s="91"/>
      <c r="U371" s="101"/>
      <c r="V371" s="61"/>
      <c r="W371" s="61"/>
    </row>
    <row r="372" spans="3:23" x14ac:dyDescent="0.25">
      <c r="C372" s="125"/>
      <c r="D372" s="126"/>
      <c r="E372" s="126"/>
      <c r="F372" s="126"/>
      <c r="G372" s="126"/>
      <c r="H372" s="124"/>
      <c r="I372" s="129"/>
      <c r="K372" s="86"/>
      <c r="L372" s="87"/>
      <c r="O372" s="92"/>
      <c r="Q372" s="93"/>
      <c r="S372" s="100"/>
      <c r="T372" s="91"/>
      <c r="U372" s="101"/>
      <c r="V372" s="61"/>
      <c r="W372" s="61"/>
    </row>
    <row r="373" spans="3:23" x14ac:dyDescent="0.25">
      <c r="C373" s="127"/>
      <c r="D373" s="128"/>
      <c r="E373" s="128"/>
      <c r="F373" s="128"/>
      <c r="G373" s="128"/>
      <c r="H373" s="124"/>
      <c r="I373" s="129"/>
      <c r="K373" s="86"/>
      <c r="L373" s="87"/>
      <c r="O373" s="92"/>
      <c r="Q373" s="93"/>
      <c r="S373" s="100"/>
      <c r="T373" s="91"/>
      <c r="U373" s="101"/>
      <c r="V373" s="61"/>
      <c r="W373" s="61"/>
    </row>
    <row r="374" spans="3:23" x14ac:dyDescent="0.25">
      <c r="C374" s="125"/>
      <c r="D374" s="126"/>
      <c r="E374" s="126"/>
      <c r="F374" s="126"/>
      <c r="G374" s="126"/>
      <c r="H374" s="124"/>
      <c r="I374" s="129"/>
      <c r="K374" s="86"/>
      <c r="L374" s="87"/>
      <c r="O374" s="92"/>
      <c r="Q374" s="93"/>
      <c r="S374" s="100"/>
      <c r="T374" s="91"/>
      <c r="U374" s="101"/>
      <c r="V374" s="61"/>
      <c r="W374" s="61"/>
    </row>
    <row r="375" spans="3:23" x14ac:dyDescent="0.25">
      <c r="C375" s="127"/>
      <c r="D375" s="128"/>
      <c r="E375" s="128"/>
      <c r="F375" s="128"/>
      <c r="G375" s="128"/>
      <c r="H375" s="124"/>
      <c r="I375" s="129"/>
      <c r="K375" s="86"/>
      <c r="L375" s="87"/>
      <c r="O375" s="92"/>
      <c r="Q375" s="93"/>
      <c r="S375" s="100"/>
      <c r="T375" s="91"/>
      <c r="U375" s="101"/>
      <c r="V375" s="61"/>
      <c r="W375" s="61"/>
    </row>
    <row r="376" spans="3:23" x14ac:dyDescent="0.25">
      <c r="C376" s="125"/>
      <c r="D376" s="126"/>
      <c r="E376" s="126"/>
      <c r="F376" s="126"/>
      <c r="G376" s="126"/>
      <c r="H376" s="124"/>
      <c r="I376" s="129"/>
      <c r="K376" s="86"/>
      <c r="L376" s="87"/>
      <c r="O376" s="92"/>
      <c r="Q376" s="93"/>
      <c r="S376" s="100"/>
      <c r="T376" s="91"/>
      <c r="U376" s="101"/>
      <c r="V376" s="61"/>
      <c r="W376" s="61"/>
    </row>
    <row r="377" spans="3:23" x14ac:dyDescent="0.25">
      <c r="C377" s="127"/>
      <c r="D377" s="128"/>
      <c r="E377" s="128"/>
      <c r="F377" s="128"/>
      <c r="G377" s="128"/>
      <c r="H377" s="124"/>
      <c r="I377" s="129"/>
      <c r="K377" s="86"/>
      <c r="L377" s="87"/>
      <c r="O377" s="92"/>
      <c r="Q377" s="93"/>
      <c r="S377" s="100"/>
      <c r="T377" s="91"/>
      <c r="U377" s="101"/>
      <c r="V377" s="61"/>
      <c r="W377" s="61"/>
    </row>
    <row r="378" spans="3:23" x14ac:dyDescent="0.25">
      <c r="C378" s="125"/>
      <c r="D378" s="126"/>
      <c r="E378" s="126"/>
      <c r="F378" s="126"/>
      <c r="G378" s="126"/>
      <c r="H378" s="124"/>
      <c r="I378" s="129"/>
      <c r="K378" s="86"/>
      <c r="L378" s="87"/>
      <c r="O378" s="92"/>
      <c r="Q378" s="93"/>
      <c r="S378" s="100"/>
      <c r="T378" s="91"/>
      <c r="U378" s="101"/>
      <c r="V378" s="61"/>
      <c r="W378" s="61"/>
    </row>
    <row r="379" spans="3:23" x14ac:dyDescent="0.25">
      <c r="C379" s="127"/>
      <c r="D379" s="128"/>
      <c r="E379" s="128"/>
      <c r="F379" s="128"/>
      <c r="G379" s="128"/>
      <c r="H379" s="124"/>
      <c r="I379" s="129"/>
      <c r="K379" s="86"/>
      <c r="L379" s="87"/>
      <c r="O379" s="92"/>
      <c r="Q379" s="93"/>
      <c r="S379" s="100"/>
      <c r="T379" s="91"/>
      <c r="U379" s="101"/>
      <c r="V379" s="61"/>
      <c r="W379" s="61"/>
    </row>
    <row r="380" spans="3:23" x14ac:dyDescent="0.25">
      <c r="C380" s="125"/>
      <c r="D380" s="126"/>
      <c r="E380" s="126"/>
      <c r="F380" s="126"/>
      <c r="G380" s="126"/>
      <c r="H380" s="124"/>
      <c r="I380" s="129"/>
      <c r="K380" s="86"/>
      <c r="L380" s="87"/>
      <c r="O380" s="92"/>
      <c r="Q380" s="93"/>
      <c r="S380" s="100"/>
      <c r="T380" s="91"/>
      <c r="U380" s="101"/>
      <c r="V380" s="61"/>
      <c r="W380" s="61"/>
    </row>
    <row r="381" spans="3:23" x14ac:dyDescent="0.25">
      <c r="C381" s="127"/>
      <c r="D381" s="128"/>
      <c r="E381" s="128"/>
      <c r="F381" s="128"/>
      <c r="G381" s="128"/>
      <c r="H381" s="124"/>
      <c r="I381" s="129"/>
      <c r="K381" s="86"/>
      <c r="L381" s="87"/>
      <c r="O381" s="92"/>
      <c r="Q381" s="93"/>
      <c r="S381" s="100"/>
      <c r="T381" s="91"/>
      <c r="U381" s="101"/>
      <c r="V381" s="61"/>
      <c r="W381" s="61"/>
    </row>
    <row r="382" spans="3:23" x14ac:dyDescent="0.25">
      <c r="C382" s="125"/>
      <c r="D382" s="126"/>
      <c r="E382" s="126"/>
      <c r="F382" s="126"/>
      <c r="G382" s="126"/>
      <c r="H382" s="124"/>
      <c r="I382" s="129"/>
      <c r="K382" s="86"/>
      <c r="L382" s="87"/>
      <c r="O382" s="92"/>
      <c r="Q382" s="93"/>
      <c r="S382" s="100"/>
      <c r="T382" s="91"/>
      <c r="U382" s="101"/>
      <c r="V382" s="61"/>
      <c r="W382" s="61"/>
    </row>
    <row r="383" spans="3:23" x14ac:dyDescent="0.25">
      <c r="C383" s="127"/>
      <c r="D383" s="128"/>
      <c r="E383" s="128"/>
      <c r="F383" s="128"/>
      <c r="G383" s="128"/>
      <c r="H383" s="124"/>
      <c r="I383" s="129"/>
      <c r="K383" s="86"/>
      <c r="L383" s="87"/>
      <c r="O383" s="92"/>
      <c r="Q383" s="93"/>
      <c r="S383" s="100"/>
      <c r="T383" s="91"/>
      <c r="U383" s="101"/>
      <c r="V383" s="61"/>
      <c r="W383" s="61"/>
    </row>
    <row r="384" spans="3:23" x14ac:dyDescent="0.25">
      <c r="C384" s="125"/>
      <c r="D384" s="126"/>
      <c r="E384" s="126"/>
      <c r="F384" s="126"/>
      <c r="G384" s="126"/>
      <c r="H384" s="124"/>
      <c r="I384" s="129"/>
      <c r="K384" s="86"/>
      <c r="L384" s="87"/>
      <c r="O384" s="92"/>
      <c r="Q384" s="93"/>
      <c r="S384" s="100"/>
      <c r="T384" s="91"/>
      <c r="U384" s="101"/>
      <c r="V384" s="61"/>
      <c r="W384" s="61"/>
    </row>
    <row r="385" spans="3:23" x14ac:dyDescent="0.25">
      <c r="C385" s="127"/>
      <c r="D385" s="128"/>
      <c r="E385" s="128"/>
      <c r="F385" s="128"/>
      <c r="G385" s="128"/>
      <c r="H385" s="124"/>
      <c r="I385" s="129"/>
      <c r="K385" s="86"/>
      <c r="L385" s="87"/>
      <c r="O385" s="92"/>
      <c r="Q385" s="93"/>
      <c r="S385" s="100"/>
      <c r="T385" s="91"/>
      <c r="U385" s="101"/>
      <c r="V385" s="61"/>
      <c r="W385" s="61"/>
    </row>
    <row r="386" spans="3:23" x14ac:dyDescent="0.25">
      <c r="C386" s="125"/>
      <c r="D386" s="126"/>
      <c r="E386" s="126"/>
      <c r="F386" s="126"/>
      <c r="G386" s="126"/>
      <c r="H386" s="124"/>
      <c r="I386" s="129"/>
      <c r="K386" s="86"/>
      <c r="L386" s="87"/>
      <c r="O386" s="92"/>
      <c r="Q386" s="93"/>
      <c r="S386" s="100"/>
      <c r="T386" s="91"/>
      <c r="U386" s="101"/>
      <c r="V386" s="61"/>
      <c r="W386" s="61"/>
    </row>
    <row r="387" spans="3:23" x14ac:dyDescent="0.25">
      <c r="C387" s="127"/>
      <c r="D387" s="128"/>
      <c r="E387" s="128"/>
      <c r="F387" s="128"/>
      <c r="G387" s="128"/>
      <c r="H387" s="124"/>
      <c r="I387" s="129"/>
      <c r="K387" s="86"/>
      <c r="L387" s="87"/>
      <c r="O387" s="92"/>
      <c r="Q387" s="93"/>
      <c r="S387" s="100"/>
      <c r="T387" s="91"/>
      <c r="U387" s="101"/>
      <c r="V387" s="61"/>
      <c r="W387" s="61"/>
    </row>
    <row r="388" spans="3:23" x14ac:dyDescent="0.25">
      <c r="C388" s="125"/>
      <c r="D388" s="126"/>
      <c r="E388" s="126"/>
      <c r="F388" s="126"/>
      <c r="G388" s="126"/>
      <c r="H388" s="124"/>
      <c r="I388" s="129"/>
      <c r="K388" s="86"/>
      <c r="L388" s="87"/>
      <c r="O388" s="92"/>
      <c r="Q388" s="93"/>
      <c r="S388" s="100"/>
      <c r="T388" s="91"/>
      <c r="U388" s="101"/>
      <c r="V388" s="61"/>
      <c r="W388" s="61"/>
    </row>
    <row r="389" spans="3:23" x14ac:dyDescent="0.25">
      <c r="C389" s="127"/>
      <c r="D389" s="128"/>
      <c r="E389" s="128"/>
      <c r="F389" s="128"/>
      <c r="G389" s="128"/>
      <c r="H389" s="124"/>
      <c r="I389" s="129"/>
      <c r="K389" s="86"/>
      <c r="L389" s="87"/>
      <c r="O389" s="92"/>
      <c r="Q389" s="93"/>
      <c r="S389" s="100"/>
      <c r="T389" s="91"/>
      <c r="U389" s="101"/>
      <c r="V389" s="61"/>
      <c r="W389" s="61"/>
    </row>
    <row r="390" spans="3:23" x14ac:dyDescent="0.25">
      <c r="C390" s="125"/>
      <c r="D390" s="126"/>
      <c r="E390" s="126"/>
      <c r="F390" s="126"/>
      <c r="G390" s="126"/>
      <c r="H390" s="124"/>
      <c r="I390" s="129"/>
      <c r="K390" s="86"/>
      <c r="L390" s="87"/>
      <c r="O390" s="92"/>
      <c r="Q390" s="93"/>
      <c r="S390" s="100"/>
      <c r="T390" s="91"/>
      <c r="U390" s="101"/>
      <c r="V390" s="61"/>
      <c r="W390" s="61"/>
    </row>
    <row r="391" spans="3:23" x14ac:dyDescent="0.25">
      <c r="C391" s="127"/>
      <c r="D391" s="128"/>
      <c r="E391" s="128"/>
      <c r="F391" s="128"/>
      <c r="G391" s="128"/>
      <c r="H391" s="124"/>
      <c r="I391" s="129"/>
      <c r="K391" s="86"/>
      <c r="L391" s="87"/>
      <c r="O391" s="92"/>
      <c r="Q391" s="93"/>
      <c r="S391" s="100"/>
      <c r="T391" s="91"/>
      <c r="U391" s="101"/>
      <c r="V391" s="61"/>
      <c r="W391" s="61"/>
    </row>
    <row r="392" spans="3:23" x14ac:dyDescent="0.25">
      <c r="C392" s="125"/>
      <c r="D392" s="126"/>
      <c r="E392" s="126"/>
      <c r="F392" s="126"/>
      <c r="G392" s="126"/>
      <c r="H392" s="124"/>
      <c r="I392" s="129"/>
      <c r="K392" s="86"/>
      <c r="L392" s="87"/>
      <c r="O392" s="92"/>
      <c r="Q392" s="93"/>
      <c r="S392" s="100"/>
      <c r="T392" s="91"/>
      <c r="U392" s="101"/>
      <c r="V392" s="61"/>
      <c r="W392" s="61"/>
    </row>
    <row r="393" spans="3:23" x14ac:dyDescent="0.25">
      <c r="C393" s="127"/>
      <c r="D393" s="128"/>
      <c r="E393" s="128"/>
      <c r="F393" s="128"/>
      <c r="G393" s="128"/>
      <c r="H393" s="124"/>
      <c r="I393" s="129"/>
      <c r="K393" s="86"/>
      <c r="L393" s="87"/>
      <c r="O393" s="92"/>
      <c r="Q393" s="93"/>
      <c r="S393" s="100"/>
      <c r="T393" s="91"/>
      <c r="U393" s="101"/>
      <c r="V393" s="61"/>
      <c r="W393" s="61"/>
    </row>
    <row r="394" spans="3:23" x14ac:dyDescent="0.25">
      <c r="C394" s="125"/>
      <c r="D394" s="126"/>
      <c r="E394" s="126"/>
      <c r="F394" s="126"/>
      <c r="G394" s="126"/>
      <c r="H394" s="124"/>
      <c r="I394" s="124"/>
      <c r="K394" s="86"/>
      <c r="L394" s="87"/>
      <c r="O394" s="92"/>
      <c r="Q394" s="93"/>
      <c r="S394" s="100"/>
      <c r="T394" s="91"/>
      <c r="U394" s="101"/>
      <c r="V394" s="61"/>
      <c r="W394" s="61"/>
    </row>
    <row r="395" spans="3:23" x14ac:dyDescent="0.25">
      <c r="C395" s="127"/>
      <c r="D395" s="128"/>
      <c r="E395" s="128"/>
      <c r="F395" s="128"/>
      <c r="G395" s="128"/>
      <c r="H395" s="124"/>
      <c r="I395" s="124"/>
      <c r="K395" s="86"/>
      <c r="L395" s="87"/>
      <c r="O395" s="92"/>
      <c r="Q395" s="93"/>
      <c r="S395" s="100"/>
      <c r="T395" s="91"/>
      <c r="U395" s="101"/>
      <c r="V395" s="61"/>
      <c r="W395" s="61"/>
    </row>
    <row r="396" spans="3:23" x14ac:dyDescent="0.25">
      <c r="C396" s="125"/>
      <c r="D396" s="126"/>
      <c r="E396" s="126"/>
      <c r="F396" s="126"/>
      <c r="G396" s="126"/>
      <c r="H396" s="124"/>
      <c r="I396" s="124"/>
      <c r="K396" s="86"/>
      <c r="L396" s="87"/>
      <c r="O396" s="92"/>
      <c r="Q396" s="93"/>
      <c r="S396" s="100"/>
      <c r="T396" s="91"/>
      <c r="U396" s="101"/>
      <c r="V396" s="61"/>
      <c r="W396" s="61"/>
    </row>
    <row r="397" spans="3:23" x14ac:dyDescent="0.25">
      <c r="C397" s="127"/>
      <c r="D397" s="128"/>
      <c r="E397" s="128"/>
      <c r="F397" s="128"/>
      <c r="G397" s="128"/>
      <c r="H397" s="124"/>
      <c r="I397" s="124"/>
      <c r="K397" s="86"/>
      <c r="L397" s="87"/>
      <c r="O397" s="92"/>
      <c r="Q397" s="93"/>
      <c r="S397" s="100"/>
      <c r="T397" s="91"/>
      <c r="U397" s="101"/>
      <c r="V397" s="61"/>
      <c r="W397" s="61"/>
    </row>
    <row r="398" spans="3:23" x14ac:dyDescent="0.25">
      <c r="C398" s="125"/>
      <c r="D398" s="126"/>
      <c r="E398" s="126"/>
      <c r="F398" s="126"/>
      <c r="G398" s="126"/>
      <c r="H398" s="124"/>
      <c r="I398" s="124"/>
      <c r="K398" s="86"/>
      <c r="L398" s="87"/>
      <c r="O398" s="92"/>
      <c r="Q398" s="93"/>
      <c r="S398" s="100"/>
      <c r="T398" s="91"/>
      <c r="U398" s="101"/>
      <c r="V398" s="61"/>
      <c r="W398" s="61"/>
    </row>
    <row r="399" spans="3:23" x14ac:dyDescent="0.25">
      <c r="C399" s="127"/>
      <c r="D399" s="128"/>
      <c r="E399" s="128"/>
      <c r="F399" s="128"/>
      <c r="G399" s="128"/>
      <c r="H399" s="124"/>
      <c r="I399" s="124"/>
      <c r="K399" s="86"/>
      <c r="L399" s="87"/>
      <c r="O399" s="92"/>
      <c r="Q399" s="93"/>
      <c r="S399" s="100"/>
      <c r="T399" s="91"/>
      <c r="U399" s="101"/>
      <c r="V399" s="61"/>
      <c r="W399" s="61"/>
    </row>
    <row r="400" spans="3:23" x14ac:dyDescent="0.25">
      <c r="C400" s="125"/>
      <c r="D400" s="126"/>
      <c r="E400" s="126"/>
      <c r="F400" s="126"/>
      <c r="G400" s="126"/>
      <c r="H400" s="124"/>
      <c r="I400" s="124"/>
      <c r="K400" s="86"/>
      <c r="L400" s="87"/>
      <c r="O400" s="92"/>
      <c r="Q400" s="93"/>
      <c r="S400" s="100"/>
      <c r="T400" s="91"/>
      <c r="U400" s="101"/>
      <c r="V400" s="61"/>
      <c r="W400" s="61"/>
    </row>
    <row r="401" spans="3:23" x14ac:dyDescent="0.25">
      <c r="C401" s="127"/>
      <c r="D401" s="128"/>
      <c r="E401" s="128"/>
      <c r="F401" s="128"/>
      <c r="G401" s="128"/>
      <c r="H401" s="124"/>
      <c r="I401" s="124"/>
      <c r="K401" s="86"/>
      <c r="L401" s="87"/>
      <c r="O401" s="92"/>
      <c r="Q401" s="93"/>
      <c r="S401" s="100"/>
      <c r="T401" s="91"/>
      <c r="U401" s="101"/>
      <c r="V401" s="61"/>
      <c r="W401" s="61"/>
    </row>
    <row r="402" spans="3:23" x14ac:dyDescent="0.25">
      <c r="C402" s="125"/>
      <c r="D402" s="126"/>
      <c r="E402" s="126"/>
      <c r="F402" s="126"/>
      <c r="G402" s="126"/>
      <c r="H402" s="124"/>
      <c r="I402" s="124"/>
      <c r="K402" s="86"/>
      <c r="L402" s="87"/>
      <c r="O402" s="92"/>
      <c r="Q402" s="93"/>
      <c r="S402" s="100"/>
      <c r="T402" s="91"/>
      <c r="U402" s="101"/>
      <c r="V402" s="61"/>
      <c r="W402" s="61"/>
    </row>
    <row r="403" spans="3:23" x14ac:dyDescent="0.25">
      <c r="C403" s="127"/>
      <c r="D403" s="128"/>
      <c r="E403" s="128"/>
      <c r="F403" s="128"/>
      <c r="G403" s="128"/>
      <c r="H403" s="124"/>
      <c r="I403" s="124"/>
      <c r="K403" s="86"/>
      <c r="L403" s="87"/>
      <c r="O403" s="92"/>
      <c r="Q403" s="93"/>
      <c r="S403" s="100"/>
      <c r="T403" s="91"/>
      <c r="U403" s="101"/>
      <c r="V403" s="61"/>
      <c r="W403" s="61"/>
    </row>
    <row r="404" spans="3:23" x14ac:dyDescent="0.25">
      <c r="C404" s="125"/>
      <c r="D404" s="126"/>
      <c r="E404" s="126"/>
      <c r="F404" s="126"/>
      <c r="G404" s="126"/>
      <c r="H404" s="124"/>
      <c r="I404" s="124"/>
      <c r="K404" s="86"/>
      <c r="L404" s="87"/>
      <c r="O404" s="92"/>
      <c r="Q404" s="93"/>
      <c r="S404" s="100"/>
      <c r="T404" s="91"/>
      <c r="U404" s="101"/>
      <c r="V404" s="61"/>
      <c r="W404" s="61"/>
    </row>
    <row r="405" spans="3:23" x14ac:dyDescent="0.25">
      <c r="C405" s="127"/>
      <c r="D405" s="128"/>
      <c r="E405" s="128"/>
      <c r="F405" s="128"/>
      <c r="G405" s="128"/>
      <c r="H405" s="124"/>
      <c r="I405" s="124"/>
      <c r="K405" s="86"/>
      <c r="L405" s="87"/>
      <c r="O405" s="92"/>
      <c r="Q405" s="93"/>
      <c r="S405" s="100"/>
      <c r="T405" s="91"/>
      <c r="U405" s="101"/>
      <c r="V405" s="61"/>
      <c r="W405" s="61"/>
    </row>
    <row r="406" spans="3:23" x14ac:dyDescent="0.25">
      <c r="C406" s="125"/>
      <c r="D406" s="126"/>
      <c r="E406" s="126"/>
      <c r="F406" s="126"/>
      <c r="G406" s="126"/>
      <c r="H406" s="124"/>
      <c r="I406" s="124"/>
      <c r="K406" s="86"/>
      <c r="L406" s="87"/>
      <c r="O406" s="92"/>
      <c r="Q406" s="93"/>
      <c r="S406" s="100"/>
      <c r="T406" s="91"/>
      <c r="U406" s="101"/>
      <c r="V406" s="61"/>
      <c r="W406" s="61"/>
    </row>
    <row r="407" spans="3:23" x14ac:dyDescent="0.25">
      <c r="C407" s="127"/>
      <c r="D407" s="128"/>
      <c r="E407" s="128"/>
      <c r="F407" s="128"/>
      <c r="G407" s="128"/>
      <c r="H407" s="124"/>
      <c r="I407" s="124"/>
      <c r="K407" s="86"/>
      <c r="L407" s="87"/>
      <c r="O407" s="92"/>
      <c r="Q407" s="93"/>
      <c r="S407" s="100"/>
      <c r="T407" s="91"/>
      <c r="U407" s="101"/>
      <c r="V407" s="61"/>
      <c r="W407" s="61"/>
    </row>
    <row r="408" spans="3:23" x14ac:dyDescent="0.25">
      <c r="C408" s="125"/>
      <c r="D408" s="126"/>
      <c r="E408" s="126"/>
      <c r="F408" s="126"/>
      <c r="G408" s="126"/>
      <c r="H408" s="124"/>
      <c r="I408" s="124"/>
      <c r="K408" s="86"/>
      <c r="L408" s="87"/>
      <c r="O408" s="92"/>
      <c r="Q408" s="93"/>
      <c r="S408" s="100"/>
      <c r="T408" s="91"/>
      <c r="U408" s="101"/>
      <c r="V408" s="61"/>
      <c r="W408" s="61"/>
    </row>
    <row r="409" spans="3:23" x14ac:dyDescent="0.25">
      <c r="C409" s="127"/>
      <c r="D409" s="128"/>
      <c r="E409" s="128"/>
      <c r="F409" s="128"/>
      <c r="G409" s="128"/>
      <c r="H409" s="124"/>
      <c r="I409" s="124"/>
      <c r="K409" s="86"/>
      <c r="L409" s="87"/>
      <c r="O409" s="92"/>
      <c r="Q409" s="93"/>
      <c r="S409" s="100"/>
      <c r="T409" s="91"/>
      <c r="U409" s="101"/>
      <c r="V409" s="61"/>
      <c r="W409" s="61"/>
    </row>
    <row r="410" spans="3:23" x14ac:dyDescent="0.25">
      <c r="C410" s="125"/>
      <c r="D410" s="126"/>
      <c r="E410" s="126"/>
      <c r="F410" s="126"/>
      <c r="G410" s="126"/>
      <c r="H410" s="124"/>
      <c r="I410" s="124"/>
      <c r="K410" s="86"/>
      <c r="L410" s="87"/>
      <c r="O410" s="92"/>
      <c r="Q410" s="93"/>
      <c r="S410" s="100"/>
      <c r="T410" s="91"/>
      <c r="U410" s="101"/>
      <c r="V410" s="61"/>
      <c r="W410" s="61"/>
    </row>
    <row r="411" spans="3:23" x14ac:dyDescent="0.25">
      <c r="C411" s="127"/>
      <c r="D411" s="128"/>
      <c r="E411" s="128"/>
      <c r="F411" s="128"/>
      <c r="G411" s="128"/>
      <c r="H411" s="124"/>
      <c r="I411" s="124"/>
      <c r="K411" s="86"/>
      <c r="L411" s="87"/>
      <c r="O411" s="92"/>
      <c r="Q411" s="93"/>
      <c r="S411" s="100"/>
      <c r="T411" s="91"/>
      <c r="U411" s="101"/>
      <c r="V411" s="61"/>
      <c r="W411" s="61"/>
    </row>
    <row r="412" spans="3:23" x14ac:dyDescent="0.25">
      <c r="C412" s="125"/>
      <c r="D412" s="126"/>
      <c r="E412" s="126"/>
      <c r="F412" s="126"/>
      <c r="G412" s="126"/>
      <c r="H412" s="124"/>
      <c r="I412" s="124"/>
      <c r="K412" s="86"/>
      <c r="L412" s="87"/>
      <c r="O412" s="92"/>
      <c r="Q412" s="93"/>
      <c r="S412" s="100"/>
      <c r="T412" s="91"/>
      <c r="U412" s="101"/>
      <c r="V412" s="61"/>
      <c r="W412" s="61"/>
    </row>
    <row r="413" spans="3:23" x14ac:dyDescent="0.25">
      <c r="C413" s="127"/>
      <c r="D413" s="128"/>
      <c r="E413" s="128"/>
      <c r="F413" s="128"/>
      <c r="G413" s="128"/>
      <c r="H413" s="124"/>
      <c r="I413" s="124"/>
      <c r="K413" s="86"/>
      <c r="L413" s="87"/>
      <c r="O413" s="92"/>
      <c r="Q413" s="93"/>
      <c r="S413" s="100"/>
      <c r="T413" s="91"/>
      <c r="U413" s="101"/>
      <c r="V413" s="61"/>
      <c r="W413" s="61"/>
    </row>
    <row r="414" spans="3:23" x14ac:dyDescent="0.25">
      <c r="C414" s="125"/>
      <c r="D414" s="126"/>
      <c r="E414" s="126"/>
      <c r="F414" s="126"/>
      <c r="G414" s="126"/>
      <c r="H414" s="124"/>
      <c r="I414" s="124"/>
      <c r="K414" s="86"/>
      <c r="L414" s="87"/>
      <c r="O414" s="92"/>
      <c r="Q414" s="93"/>
      <c r="S414" s="100"/>
      <c r="T414" s="91"/>
      <c r="U414" s="101"/>
      <c r="V414" s="61"/>
      <c r="W414" s="61"/>
    </row>
    <row r="415" spans="3:23" x14ac:dyDescent="0.25">
      <c r="C415" s="127"/>
      <c r="D415" s="128"/>
      <c r="E415" s="128"/>
      <c r="F415" s="128"/>
      <c r="G415" s="128"/>
      <c r="H415" s="124"/>
      <c r="I415" s="124"/>
      <c r="K415" s="86"/>
      <c r="L415" s="87"/>
      <c r="O415" s="92"/>
      <c r="Q415" s="93"/>
      <c r="S415" s="100"/>
      <c r="T415" s="91"/>
      <c r="U415" s="101"/>
      <c r="V415" s="61"/>
      <c r="W415" s="61"/>
    </row>
    <row r="416" spans="3:23" x14ac:dyDescent="0.25">
      <c r="C416" s="125"/>
      <c r="D416" s="126"/>
      <c r="E416" s="126"/>
      <c r="F416" s="126"/>
      <c r="G416" s="126"/>
      <c r="H416" s="124"/>
      <c r="I416" s="124"/>
      <c r="K416" s="86"/>
      <c r="L416" s="87"/>
      <c r="O416" s="92"/>
      <c r="Q416" s="93"/>
      <c r="S416" s="100"/>
      <c r="T416" s="91"/>
      <c r="U416" s="101"/>
      <c r="V416" s="61"/>
      <c r="W416" s="61"/>
    </row>
    <row r="417" spans="3:23" x14ac:dyDescent="0.25">
      <c r="C417" s="127"/>
      <c r="D417" s="128"/>
      <c r="E417" s="128"/>
      <c r="F417" s="128"/>
      <c r="G417" s="128"/>
      <c r="H417" s="124"/>
      <c r="I417" s="124"/>
      <c r="K417" s="86"/>
      <c r="L417" s="87"/>
      <c r="O417" s="92"/>
      <c r="Q417" s="93"/>
      <c r="S417" s="100"/>
      <c r="T417" s="91"/>
      <c r="U417" s="101"/>
      <c r="V417" s="61"/>
      <c r="W417" s="61"/>
    </row>
    <row r="418" spans="3:23" x14ac:dyDescent="0.25">
      <c r="C418" s="125"/>
      <c r="D418" s="126"/>
      <c r="E418" s="126"/>
      <c r="F418" s="126"/>
      <c r="G418" s="126"/>
      <c r="H418" s="124"/>
      <c r="I418" s="124"/>
      <c r="K418" s="86"/>
      <c r="L418" s="87"/>
      <c r="O418" s="92"/>
      <c r="Q418" s="93"/>
      <c r="S418" s="100"/>
      <c r="T418" s="91"/>
      <c r="U418" s="101"/>
      <c r="V418" s="61"/>
      <c r="W418" s="61"/>
    </row>
    <row r="419" spans="3:23" x14ac:dyDescent="0.25">
      <c r="C419" s="127"/>
      <c r="D419" s="128"/>
      <c r="E419" s="128"/>
      <c r="F419" s="128"/>
      <c r="G419" s="128"/>
      <c r="H419" s="124"/>
      <c r="I419" s="124"/>
      <c r="K419" s="86"/>
      <c r="L419" s="87"/>
      <c r="O419" s="92"/>
      <c r="Q419" s="93"/>
      <c r="S419" s="100"/>
      <c r="T419" s="91"/>
      <c r="U419" s="101"/>
      <c r="V419" s="61"/>
      <c r="W419" s="61"/>
    </row>
    <row r="420" spans="3:23" x14ac:dyDescent="0.25">
      <c r="C420" s="125"/>
      <c r="D420" s="126"/>
      <c r="E420" s="126"/>
      <c r="F420" s="126"/>
      <c r="G420" s="126"/>
      <c r="H420" s="124"/>
      <c r="I420" s="124"/>
      <c r="K420" s="86"/>
      <c r="L420" s="87"/>
      <c r="O420" s="92"/>
      <c r="Q420" s="93"/>
      <c r="S420" s="100"/>
      <c r="T420" s="91"/>
      <c r="U420" s="101"/>
      <c r="V420" s="61"/>
      <c r="W420" s="61"/>
    </row>
    <row r="421" spans="3:23" x14ac:dyDescent="0.25">
      <c r="C421" s="127"/>
      <c r="D421" s="128"/>
      <c r="E421" s="128"/>
      <c r="F421" s="128"/>
      <c r="G421" s="128"/>
      <c r="H421" s="124"/>
      <c r="I421" s="124"/>
      <c r="K421" s="86"/>
      <c r="L421" s="87"/>
      <c r="O421" s="92"/>
      <c r="Q421" s="93"/>
      <c r="S421" s="100"/>
      <c r="T421" s="91"/>
      <c r="U421" s="101"/>
      <c r="V421" s="61"/>
      <c r="W421" s="61"/>
    </row>
    <row r="422" spans="3:23" x14ac:dyDescent="0.25">
      <c r="C422" s="125"/>
      <c r="D422" s="126"/>
      <c r="E422" s="126"/>
      <c r="F422" s="126"/>
      <c r="G422" s="126"/>
      <c r="H422" s="124"/>
      <c r="I422" s="124"/>
      <c r="K422" s="86"/>
      <c r="L422" s="87"/>
      <c r="O422" s="92"/>
      <c r="Q422" s="93"/>
      <c r="S422" s="100"/>
      <c r="T422" s="91"/>
      <c r="U422" s="101"/>
      <c r="V422" s="61"/>
      <c r="W422" s="61"/>
    </row>
    <row r="423" spans="3:23" x14ac:dyDescent="0.25">
      <c r="C423" s="127"/>
      <c r="D423" s="128"/>
      <c r="E423" s="128"/>
      <c r="F423" s="128"/>
      <c r="G423" s="128"/>
      <c r="H423" s="124"/>
      <c r="I423" s="124"/>
      <c r="K423" s="86"/>
      <c r="L423" s="87"/>
      <c r="O423" s="92"/>
      <c r="Q423" s="93"/>
      <c r="S423" s="100"/>
      <c r="T423" s="91"/>
      <c r="U423" s="101"/>
      <c r="V423" s="61"/>
      <c r="W423" s="61"/>
    </row>
    <row r="424" spans="3:23" x14ac:dyDescent="0.25">
      <c r="C424" s="125"/>
      <c r="D424" s="126"/>
      <c r="E424" s="126"/>
      <c r="F424" s="126"/>
      <c r="G424" s="126"/>
      <c r="H424" s="124"/>
      <c r="I424" s="124"/>
      <c r="K424" s="86"/>
      <c r="L424" s="87"/>
      <c r="O424" s="92"/>
      <c r="Q424" s="93"/>
      <c r="S424" s="100"/>
      <c r="T424" s="91"/>
      <c r="U424" s="101"/>
      <c r="V424" s="61"/>
      <c r="W424" s="61"/>
    </row>
    <row r="425" spans="3:23" x14ac:dyDescent="0.25">
      <c r="C425" s="127"/>
      <c r="D425" s="128"/>
      <c r="E425" s="128"/>
      <c r="F425" s="128"/>
      <c r="G425" s="128"/>
      <c r="H425" s="124"/>
      <c r="I425" s="124"/>
      <c r="K425" s="86"/>
      <c r="L425" s="87"/>
      <c r="O425" s="92"/>
      <c r="Q425" s="93"/>
      <c r="S425" s="100"/>
      <c r="T425" s="91"/>
      <c r="U425" s="101"/>
      <c r="V425" s="61"/>
      <c r="W425" s="61"/>
    </row>
    <row r="426" spans="3:23" x14ac:dyDescent="0.25">
      <c r="C426" s="125"/>
      <c r="D426" s="126"/>
      <c r="E426" s="126"/>
      <c r="F426" s="126"/>
      <c r="G426" s="126"/>
      <c r="H426" s="124"/>
      <c r="I426" s="124"/>
      <c r="K426" s="86"/>
      <c r="L426" s="87"/>
      <c r="O426" s="92"/>
      <c r="Q426" s="93"/>
      <c r="S426" s="100"/>
      <c r="T426" s="91"/>
      <c r="U426" s="101"/>
      <c r="V426" s="61"/>
      <c r="W426" s="61"/>
    </row>
    <row r="427" spans="3:23" x14ac:dyDescent="0.25">
      <c r="C427" s="127"/>
      <c r="D427" s="128"/>
      <c r="E427" s="128"/>
      <c r="F427" s="128"/>
      <c r="G427" s="128"/>
      <c r="H427" s="124"/>
      <c r="I427" s="124"/>
      <c r="K427" s="86"/>
      <c r="L427" s="87"/>
      <c r="O427" s="92"/>
      <c r="Q427" s="93"/>
      <c r="S427" s="100"/>
      <c r="T427" s="91"/>
      <c r="U427" s="101"/>
      <c r="V427" s="61"/>
      <c r="W427" s="61"/>
    </row>
    <row r="428" spans="3:23" x14ac:dyDescent="0.25">
      <c r="C428" s="125"/>
      <c r="D428" s="126"/>
      <c r="E428" s="126"/>
      <c r="F428" s="126"/>
      <c r="G428" s="126"/>
      <c r="H428" s="124"/>
      <c r="I428" s="124"/>
      <c r="K428" s="86"/>
      <c r="L428" s="87"/>
      <c r="O428" s="92"/>
      <c r="Q428" s="93"/>
      <c r="S428" s="100"/>
      <c r="T428" s="91"/>
      <c r="U428" s="101"/>
      <c r="V428" s="61"/>
      <c r="W428" s="61"/>
    </row>
    <row r="429" spans="3:23" x14ac:dyDescent="0.25">
      <c r="C429" s="127"/>
      <c r="D429" s="128"/>
      <c r="E429" s="128"/>
      <c r="F429" s="128"/>
      <c r="G429" s="128"/>
      <c r="H429" s="124"/>
      <c r="I429" s="124"/>
      <c r="K429" s="86"/>
      <c r="L429" s="87"/>
      <c r="O429" s="92"/>
      <c r="Q429" s="93"/>
      <c r="S429" s="100"/>
      <c r="T429" s="91"/>
      <c r="U429" s="101"/>
      <c r="V429" s="61"/>
      <c r="W429" s="61"/>
    </row>
    <row r="430" spans="3:23" x14ac:dyDescent="0.25">
      <c r="C430" s="125"/>
      <c r="D430" s="126"/>
      <c r="E430" s="126"/>
      <c r="F430" s="126"/>
      <c r="G430" s="126"/>
      <c r="H430" s="124"/>
      <c r="I430" s="124"/>
      <c r="K430" s="86"/>
      <c r="L430" s="87"/>
      <c r="O430" s="92"/>
      <c r="Q430" s="93"/>
      <c r="S430" s="100"/>
      <c r="T430" s="91"/>
      <c r="U430" s="101"/>
      <c r="V430" s="61"/>
      <c r="W430" s="61"/>
    </row>
    <row r="431" spans="3:23" x14ac:dyDescent="0.25">
      <c r="C431" s="127"/>
      <c r="D431" s="128"/>
      <c r="E431" s="128"/>
      <c r="F431" s="128"/>
      <c r="G431" s="128"/>
      <c r="H431" s="124"/>
      <c r="I431" s="124"/>
      <c r="K431" s="86"/>
      <c r="L431" s="87"/>
      <c r="O431" s="92"/>
      <c r="Q431" s="93"/>
      <c r="S431" s="100"/>
      <c r="T431" s="91"/>
      <c r="U431" s="101"/>
      <c r="V431" s="61"/>
      <c r="W431" s="61"/>
    </row>
    <row r="432" spans="3:23" x14ac:dyDescent="0.25">
      <c r="C432" s="125"/>
      <c r="D432" s="126"/>
      <c r="E432" s="126"/>
      <c r="F432" s="126"/>
      <c r="G432" s="126"/>
      <c r="H432" s="124"/>
      <c r="I432" s="124"/>
      <c r="K432" s="86"/>
      <c r="L432" s="87"/>
      <c r="O432" s="92"/>
      <c r="Q432" s="93"/>
      <c r="S432" s="100"/>
      <c r="T432" s="91"/>
      <c r="U432" s="101"/>
      <c r="V432" s="61"/>
      <c r="W432" s="61"/>
    </row>
    <row r="433" spans="3:23" x14ac:dyDescent="0.25">
      <c r="C433" s="127"/>
      <c r="D433" s="128"/>
      <c r="E433" s="128"/>
      <c r="F433" s="128"/>
      <c r="G433" s="128"/>
      <c r="H433" s="124"/>
      <c r="I433" s="124"/>
      <c r="K433" s="86"/>
      <c r="L433" s="87"/>
      <c r="O433" s="92"/>
      <c r="Q433" s="93"/>
      <c r="S433" s="100"/>
      <c r="T433" s="91"/>
      <c r="U433" s="101"/>
      <c r="V433" s="61"/>
      <c r="W433" s="61"/>
    </row>
    <row r="434" spans="3:23" x14ac:dyDescent="0.25">
      <c r="C434" s="125"/>
      <c r="D434" s="126"/>
      <c r="E434" s="126"/>
      <c r="F434" s="126"/>
      <c r="G434" s="126"/>
      <c r="H434" s="124"/>
      <c r="I434" s="124"/>
      <c r="K434" s="86"/>
      <c r="L434" s="87"/>
      <c r="O434" s="92"/>
      <c r="Q434" s="93"/>
      <c r="S434" s="100"/>
      <c r="T434" s="91"/>
      <c r="U434" s="101"/>
      <c r="V434" s="61"/>
      <c r="W434" s="61"/>
    </row>
    <row r="435" spans="3:23" x14ac:dyDescent="0.25">
      <c r="C435" s="127"/>
      <c r="D435" s="128"/>
      <c r="E435" s="128"/>
      <c r="F435" s="128"/>
      <c r="G435" s="128"/>
      <c r="H435" s="124"/>
      <c r="I435" s="124"/>
      <c r="K435" s="86"/>
      <c r="L435" s="87"/>
      <c r="O435" s="92"/>
      <c r="Q435" s="93"/>
      <c r="S435" s="100"/>
      <c r="T435" s="91"/>
      <c r="U435" s="101"/>
      <c r="V435" s="61"/>
      <c r="W435" s="61"/>
    </row>
    <row r="436" spans="3:23" x14ac:dyDescent="0.25">
      <c r="C436" s="125"/>
      <c r="D436" s="126"/>
      <c r="E436" s="126"/>
      <c r="F436" s="126"/>
      <c r="G436" s="126"/>
      <c r="H436" s="124"/>
      <c r="I436" s="124"/>
      <c r="K436" s="86"/>
      <c r="L436" s="87"/>
      <c r="O436" s="92"/>
      <c r="Q436" s="93"/>
      <c r="S436" s="100"/>
      <c r="T436" s="91"/>
      <c r="U436" s="101"/>
      <c r="V436" s="61"/>
      <c r="W436" s="61"/>
    </row>
    <row r="437" spans="3:23" x14ac:dyDescent="0.25">
      <c r="C437" s="127"/>
      <c r="D437" s="128"/>
      <c r="E437" s="128"/>
      <c r="F437" s="128"/>
      <c r="G437" s="128"/>
      <c r="H437" s="124"/>
      <c r="I437" s="124"/>
      <c r="K437" s="86"/>
      <c r="L437" s="87"/>
      <c r="O437" s="92"/>
      <c r="Q437" s="93"/>
      <c r="S437" s="100"/>
      <c r="T437" s="91"/>
      <c r="U437" s="101"/>
      <c r="V437" s="61"/>
      <c r="W437" s="61"/>
    </row>
    <row r="438" spans="3:23" x14ac:dyDescent="0.25">
      <c r="C438" s="125"/>
      <c r="D438" s="126"/>
      <c r="E438" s="126"/>
      <c r="F438" s="126"/>
      <c r="G438" s="126"/>
      <c r="H438" s="124"/>
      <c r="I438" s="124"/>
      <c r="K438" s="86"/>
      <c r="L438" s="87"/>
      <c r="O438" s="92"/>
      <c r="Q438" s="93"/>
      <c r="S438" s="100"/>
      <c r="T438" s="91"/>
      <c r="U438" s="101"/>
      <c r="V438" s="61"/>
      <c r="W438" s="61"/>
    </row>
    <row r="439" spans="3:23" x14ac:dyDescent="0.25">
      <c r="C439" s="127"/>
      <c r="D439" s="128"/>
      <c r="E439" s="128"/>
      <c r="F439" s="128"/>
      <c r="G439" s="128"/>
      <c r="H439" s="124"/>
      <c r="I439" s="124"/>
      <c r="K439" s="86"/>
      <c r="L439" s="87"/>
      <c r="O439" s="92"/>
      <c r="Q439" s="93"/>
      <c r="S439" s="100"/>
      <c r="T439" s="91"/>
      <c r="U439" s="101"/>
      <c r="V439" s="61"/>
      <c r="W439" s="61"/>
    </row>
    <row r="440" spans="3:23" x14ac:dyDescent="0.25">
      <c r="C440" s="125"/>
      <c r="D440" s="126"/>
      <c r="E440" s="126"/>
      <c r="F440" s="126"/>
      <c r="G440" s="126"/>
      <c r="H440" s="124"/>
      <c r="I440" s="124"/>
      <c r="K440" s="86"/>
      <c r="L440" s="87"/>
      <c r="O440" s="92"/>
      <c r="Q440" s="93"/>
      <c r="S440" s="100"/>
      <c r="T440" s="91"/>
      <c r="U440" s="101"/>
      <c r="V440" s="61"/>
      <c r="W440" s="61"/>
    </row>
    <row r="441" spans="3:23" x14ac:dyDescent="0.25">
      <c r="C441" s="127"/>
      <c r="D441" s="128"/>
      <c r="E441" s="128"/>
      <c r="F441" s="128"/>
      <c r="G441" s="128"/>
      <c r="H441" s="124"/>
      <c r="I441" s="124"/>
      <c r="K441" s="86"/>
      <c r="L441" s="87"/>
      <c r="O441" s="92"/>
      <c r="Q441" s="93"/>
      <c r="S441" s="100"/>
      <c r="T441" s="91"/>
      <c r="U441" s="101"/>
      <c r="V441" s="61"/>
      <c r="W441" s="61"/>
    </row>
    <row r="442" spans="3:23" x14ac:dyDescent="0.25">
      <c r="C442" s="125"/>
      <c r="D442" s="126"/>
      <c r="E442" s="126"/>
      <c r="F442" s="126"/>
      <c r="G442" s="126"/>
      <c r="H442" s="124"/>
      <c r="I442" s="124"/>
      <c r="K442" s="86"/>
      <c r="L442" s="87"/>
      <c r="O442" s="92"/>
      <c r="Q442" s="93"/>
      <c r="S442" s="100"/>
      <c r="T442" s="91"/>
      <c r="U442" s="101"/>
      <c r="V442" s="61"/>
      <c r="W442" s="61"/>
    </row>
    <row r="443" spans="3:23" x14ac:dyDescent="0.25">
      <c r="C443" s="127"/>
      <c r="D443" s="128"/>
      <c r="E443" s="128"/>
      <c r="F443" s="128"/>
      <c r="G443" s="128"/>
      <c r="H443" s="124"/>
      <c r="I443" s="124"/>
      <c r="K443" s="86"/>
      <c r="L443" s="87"/>
      <c r="O443" s="92"/>
      <c r="Q443" s="93"/>
      <c r="S443" s="100"/>
      <c r="T443" s="91"/>
      <c r="U443" s="101"/>
      <c r="V443" s="61"/>
      <c r="W443" s="61"/>
    </row>
    <row r="444" spans="3:23" x14ac:dyDescent="0.25">
      <c r="C444" s="125"/>
      <c r="D444" s="126"/>
      <c r="E444" s="126"/>
      <c r="F444" s="126"/>
      <c r="G444" s="126"/>
      <c r="H444" s="124"/>
      <c r="I444" s="124"/>
      <c r="K444" s="86"/>
      <c r="L444" s="87"/>
      <c r="O444" s="92"/>
      <c r="Q444" s="93"/>
      <c r="S444" s="100"/>
      <c r="T444" s="91"/>
      <c r="U444" s="101"/>
      <c r="V444" s="61"/>
      <c r="W444" s="61"/>
    </row>
    <row r="445" spans="3:23" x14ac:dyDescent="0.25">
      <c r="C445" s="127"/>
      <c r="D445" s="128"/>
      <c r="E445" s="128"/>
      <c r="F445" s="128"/>
      <c r="G445" s="128"/>
      <c r="H445" s="124"/>
      <c r="I445" s="124"/>
      <c r="K445" s="86"/>
      <c r="L445" s="87"/>
      <c r="O445" s="92"/>
      <c r="Q445" s="93"/>
      <c r="S445" s="100"/>
      <c r="T445" s="91"/>
      <c r="U445" s="101"/>
      <c r="V445" s="61"/>
      <c r="W445" s="61"/>
    </row>
    <row r="446" spans="3:23" x14ac:dyDescent="0.25">
      <c r="C446" s="125"/>
      <c r="D446" s="126"/>
      <c r="E446" s="126"/>
      <c r="F446" s="126"/>
      <c r="G446" s="126"/>
      <c r="H446" s="124"/>
      <c r="I446" s="124"/>
      <c r="K446" s="86"/>
      <c r="L446" s="87"/>
      <c r="O446" s="92"/>
      <c r="Q446" s="93"/>
      <c r="S446" s="100"/>
      <c r="T446" s="91"/>
      <c r="U446" s="101"/>
      <c r="V446" s="61"/>
      <c r="W446" s="61"/>
    </row>
    <row r="447" spans="3:23" x14ac:dyDescent="0.25">
      <c r="C447" s="127"/>
      <c r="D447" s="128"/>
      <c r="E447" s="128"/>
      <c r="F447" s="128"/>
      <c r="G447" s="128"/>
      <c r="H447" s="124"/>
      <c r="I447" s="124"/>
      <c r="K447" s="86"/>
      <c r="L447" s="87"/>
      <c r="O447" s="92"/>
      <c r="Q447" s="93"/>
      <c r="S447" s="100"/>
      <c r="T447" s="91"/>
      <c r="U447" s="101"/>
      <c r="V447" s="61"/>
      <c r="W447" s="61"/>
    </row>
    <row r="448" spans="3:23" x14ac:dyDescent="0.25">
      <c r="C448" s="125"/>
      <c r="D448" s="126"/>
      <c r="E448" s="126"/>
      <c r="F448" s="126"/>
      <c r="G448" s="126"/>
      <c r="H448" s="124"/>
      <c r="I448" s="124"/>
      <c r="K448" s="86"/>
      <c r="L448" s="87"/>
      <c r="O448" s="92"/>
      <c r="Q448" s="93"/>
      <c r="S448" s="100"/>
      <c r="T448" s="91"/>
      <c r="U448" s="101"/>
      <c r="V448" s="61"/>
      <c r="W448" s="61"/>
    </row>
    <row r="449" spans="3:23" x14ac:dyDescent="0.25">
      <c r="C449" s="127"/>
      <c r="D449" s="128"/>
      <c r="E449" s="128"/>
      <c r="F449" s="128"/>
      <c r="G449" s="128"/>
      <c r="H449" s="124"/>
      <c r="I449" s="124"/>
      <c r="K449" s="86"/>
      <c r="L449" s="87"/>
      <c r="O449" s="92"/>
      <c r="Q449" s="93"/>
      <c r="S449" s="100"/>
      <c r="T449" s="91"/>
      <c r="U449" s="101"/>
      <c r="V449" s="61"/>
      <c r="W449" s="61"/>
    </row>
    <row r="450" spans="3:23" x14ac:dyDescent="0.25">
      <c r="C450" s="125"/>
      <c r="D450" s="126"/>
      <c r="E450" s="126"/>
      <c r="F450" s="126"/>
      <c r="G450" s="126"/>
      <c r="H450" s="124"/>
      <c r="I450" s="124"/>
      <c r="K450" s="86"/>
      <c r="L450" s="87"/>
      <c r="O450" s="92"/>
      <c r="Q450" s="93"/>
      <c r="S450" s="100"/>
      <c r="T450" s="91"/>
      <c r="U450" s="101"/>
      <c r="V450" s="61"/>
      <c r="W450" s="61"/>
    </row>
    <row r="451" spans="3:23" x14ac:dyDescent="0.25">
      <c r="C451" s="127"/>
      <c r="D451" s="128"/>
      <c r="E451" s="128"/>
      <c r="F451" s="128"/>
      <c r="G451" s="128"/>
      <c r="H451" s="124"/>
      <c r="I451" s="124"/>
      <c r="K451" s="86"/>
      <c r="L451" s="87"/>
      <c r="O451" s="92"/>
      <c r="Q451" s="93"/>
      <c r="S451" s="100"/>
      <c r="T451" s="91"/>
      <c r="U451" s="101"/>
      <c r="V451" s="61"/>
      <c r="W451" s="61"/>
    </row>
    <row r="452" spans="3:23" x14ac:dyDescent="0.25">
      <c r="C452" s="125"/>
      <c r="D452" s="126"/>
      <c r="E452" s="126"/>
      <c r="F452" s="126"/>
      <c r="G452" s="126"/>
      <c r="H452" s="124"/>
      <c r="I452" s="124"/>
      <c r="K452" s="86"/>
      <c r="L452" s="87"/>
      <c r="O452" s="92"/>
      <c r="Q452" s="93"/>
      <c r="S452" s="100"/>
      <c r="T452" s="91"/>
      <c r="U452" s="101"/>
      <c r="V452" s="61"/>
      <c r="W452" s="61"/>
    </row>
    <row r="453" spans="3:23" x14ac:dyDescent="0.25">
      <c r="C453" s="127"/>
      <c r="D453" s="128"/>
      <c r="E453" s="128"/>
      <c r="F453" s="128"/>
      <c r="G453" s="128"/>
      <c r="H453" s="124"/>
      <c r="I453" s="124"/>
      <c r="K453" s="86"/>
      <c r="L453" s="87"/>
      <c r="O453" s="92"/>
      <c r="Q453" s="93"/>
      <c r="S453" s="100"/>
      <c r="T453" s="91"/>
      <c r="U453" s="101"/>
      <c r="V453" s="61"/>
      <c r="W453" s="61"/>
    </row>
    <row r="454" spans="3:23" x14ac:dyDescent="0.25">
      <c r="C454" s="125"/>
      <c r="D454" s="126"/>
      <c r="E454" s="126"/>
      <c r="F454" s="126"/>
      <c r="G454" s="126"/>
      <c r="H454" s="124"/>
      <c r="I454" s="124"/>
      <c r="K454" s="86"/>
      <c r="L454" s="87"/>
      <c r="O454" s="92"/>
      <c r="Q454" s="93"/>
      <c r="S454" s="100"/>
      <c r="T454" s="91"/>
      <c r="U454" s="101"/>
      <c r="V454" s="61"/>
      <c r="W454" s="61"/>
    </row>
    <row r="455" spans="3:23" x14ac:dyDescent="0.25">
      <c r="C455" s="127"/>
      <c r="D455" s="128"/>
      <c r="E455" s="128"/>
      <c r="F455" s="128"/>
      <c r="G455" s="128"/>
      <c r="H455" s="124"/>
      <c r="I455" s="124"/>
      <c r="K455" s="86"/>
      <c r="L455" s="87"/>
      <c r="O455" s="92"/>
      <c r="Q455" s="93"/>
      <c r="S455" s="100"/>
      <c r="T455" s="91"/>
      <c r="U455" s="101"/>
      <c r="V455" s="61"/>
      <c r="W455" s="61"/>
    </row>
    <row r="456" spans="3:23" x14ac:dyDescent="0.25">
      <c r="C456" s="125"/>
      <c r="D456" s="126"/>
      <c r="E456" s="126"/>
      <c r="F456" s="126"/>
      <c r="G456" s="126"/>
      <c r="H456" s="124"/>
      <c r="I456" s="124"/>
      <c r="K456" s="86"/>
      <c r="L456" s="87"/>
      <c r="O456" s="92"/>
      <c r="Q456" s="93"/>
      <c r="S456" s="100"/>
      <c r="T456" s="91"/>
      <c r="U456" s="101"/>
      <c r="V456" s="61"/>
      <c r="W456" s="61"/>
    </row>
    <row r="457" spans="3:23" x14ac:dyDescent="0.25">
      <c r="C457" s="127"/>
      <c r="D457" s="128"/>
      <c r="E457" s="128"/>
      <c r="F457" s="128"/>
      <c r="G457" s="128"/>
      <c r="H457" s="124"/>
      <c r="I457" s="124"/>
      <c r="K457" s="86"/>
      <c r="L457" s="87"/>
      <c r="O457" s="92"/>
      <c r="Q457" s="93"/>
      <c r="S457" s="100"/>
      <c r="T457" s="91"/>
      <c r="U457" s="101"/>
      <c r="V457" s="61"/>
      <c r="W457" s="61"/>
    </row>
    <row r="458" spans="3:23" x14ac:dyDescent="0.25">
      <c r="C458" s="125"/>
      <c r="D458" s="126"/>
      <c r="E458" s="126"/>
      <c r="F458" s="126"/>
      <c r="G458" s="126"/>
      <c r="H458" s="124"/>
      <c r="I458" s="124"/>
      <c r="K458" s="86"/>
      <c r="L458" s="87"/>
      <c r="O458" s="92"/>
      <c r="Q458" s="93"/>
      <c r="S458" s="100"/>
      <c r="T458" s="91"/>
      <c r="U458" s="101"/>
      <c r="V458" s="61"/>
      <c r="W458" s="61"/>
    </row>
    <row r="459" spans="3:23" x14ac:dyDescent="0.25">
      <c r="C459" s="127"/>
      <c r="D459" s="128"/>
      <c r="E459" s="128"/>
      <c r="F459" s="128"/>
      <c r="G459" s="128"/>
      <c r="H459" s="124"/>
      <c r="I459" s="124"/>
      <c r="K459" s="86"/>
      <c r="L459" s="87"/>
      <c r="O459" s="92"/>
      <c r="Q459" s="93"/>
      <c r="S459" s="100"/>
      <c r="T459" s="91"/>
      <c r="U459" s="101"/>
      <c r="V459" s="61"/>
      <c r="W459" s="61"/>
    </row>
    <row r="460" spans="3:23" x14ac:dyDescent="0.25">
      <c r="C460" s="125"/>
      <c r="D460" s="126"/>
      <c r="E460" s="126"/>
      <c r="F460" s="126"/>
      <c r="G460" s="126"/>
      <c r="H460" s="124"/>
      <c r="I460" s="124"/>
      <c r="K460" s="86"/>
      <c r="L460" s="87"/>
      <c r="O460" s="92"/>
      <c r="Q460" s="93"/>
      <c r="S460" s="100"/>
      <c r="T460" s="91"/>
      <c r="U460" s="101"/>
      <c r="V460" s="61"/>
      <c r="W460" s="61"/>
    </row>
    <row r="461" spans="3:23" x14ac:dyDescent="0.25">
      <c r="C461" s="127"/>
      <c r="D461" s="128"/>
      <c r="E461" s="128"/>
      <c r="F461" s="128"/>
      <c r="G461" s="128"/>
      <c r="H461" s="124"/>
      <c r="I461" s="124"/>
      <c r="K461" s="86"/>
      <c r="L461" s="87"/>
      <c r="O461" s="92"/>
      <c r="Q461" s="93"/>
      <c r="S461" s="100"/>
      <c r="T461" s="91"/>
      <c r="U461" s="101"/>
      <c r="V461" s="61"/>
      <c r="W461" s="61"/>
    </row>
    <row r="462" spans="3:23" x14ac:dyDescent="0.25">
      <c r="C462" s="125"/>
      <c r="D462" s="126"/>
      <c r="E462" s="126"/>
      <c r="F462" s="126"/>
      <c r="G462" s="126"/>
      <c r="H462" s="124"/>
      <c r="I462" s="124"/>
      <c r="K462" s="86"/>
      <c r="L462" s="87"/>
      <c r="O462" s="92"/>
      <c r="Q462" s="93"/>
      <c r="S462" s="100"/>
      <c r="T462" s="91"/>
      <c r="U462" s="101"/>
      <c r="V462" s="61"/>
      <c r="W462" s="61"/>
    </row>
    <row r="463" spans="3:23" x14ac:dyDescent="0.25">
      <c r="C463" s="127"/>
      <c r="D463" s="128"/>
      <c r="E463" s="128"/>
      <c r="F463" s="128"/>
      <c r="G463" s="128"/>
      <c r="H463" s="124"/>
      <c r="I463" s="124"/>
      <c r="K463" s="86"/>
      <c r="L463" s="87"/>
      <c r="O463" s="92"/>
      <c r="Q463" s="93"/>
      <c r="S463" s="100"/>
      <c r="T463" s="91"/>
      <c r="U463" s="101"/>
      <c r="V463" s="61"/>
      <c r="W463" s="61"/>
    </row>
    <row r="464" spans="3:23" x14ac:dyDescent="0.25">
      <c r="C464" s="125"/>
      <c r="D464" s="126"/>
      <c r="E464" s="126"/>
      <c r="F464" s="126"/>
      <c r="G464" s="126"/>
      <c r="H464" s="124"/>
      <c r="I464" s="124"/>
      <c r="K464" s="86"/>
      <c r="L464" s="87"/>
      <c r="O464" s="92"/>
      <c r="Q464" s="93"/>
      <c r="S464" s="100"/>
      <c r="T464" s="91"/>
      <c r="U464" s="101"/>
      <c r="V464" s="61"/>
      <c r="W464" s="61"/>
    </row>
    <row r="465" spans="3:23" x14ac:dyDescent="0.25">
      <c r="C465" s="127"/>
      <c r="D465" s="128"/>
      <c r="E465" s="128"/>
      <c r="F465" s="128"/>
      <c r="G465" s="128"/>
      <c r="H465" s="124"/>
      <c r="I465" s="124"/>
      <c r="K465" s="86"/>
      <c r="L465" s="87"/>
      <c r="O465" s="92"/>
      <c r="Q465" s="93"/>
      <c r="S465" s="100"/>
      <c r="T465" s="91"/>
      <c r="U465" s="101"/>
      <c r="V465" s="61"/>
      <c r="W465" s="61"/>
    </row>
    <row r="466" spans="3:23" x14ac:dyDescent="0.25">
      <c r="C466" s="125"/>
      <c r="D466" s="126"/>
      <c r="E466" s="126"/>
      <c r="F466" s="126"/>
      <c r="G466" s="126"/>
      <c r="H466" s="124"/>
      <c r="I466" s="124"/>
      <c r="K466" s="86"/>
      <c r="L466" s="87"/>
      <c r="O466" s="92"/>
      <c r="Q466" s="93"/>
      <c r="S466" s="100"/>
      <c r="T466" s="91"/>
      <c r="U466" s="101"/>
      <c r="V466" s="61"/>
      <c r="W466" s="61"/>
    </row>
    <row r="467" spans="3:23" x14ac:dyDescent="0.25">
      <c r="C467" s="127"/>
      <c r="D467" s="128"/>
      <c r="E467" s="128"/>
      <c r="F467" s="128"/>
      <c r="G467" s="128"/>
      <c r="H467" s="124"/>
      <c r="I467" s="124"/>
      <c r="K467" s="86"/>
      <c r="L467" s="87"/>
      <c r="O467" s="92"/>
      <c r="Q467" s="93"/>
      <c r="S467" s="100"/>
      <c r="T467" s="91"/>
      <c r="U467" s="101"/>
      <c r="V467" s="61"/>
      <c r="W467" s="61"/>
    </row>
    <row r="468" spans="3:23" x14ac:dyDescent="0.25">
      <c r="C468" s="125"/>
      <c r="D468" s="126"/>
      <c r="E468" s="126"/>
      <c r="F468" s="126"/>
      <c r="G468" s="126"/>
      <c r="H468" s="124"/>
      <c r="I468" s="124"/>
      <c r="K468" s="86"/>
      <c r="L468" s="87"/>
      <c r="O468" s="92"/>
      <c r="Q468" s="93"/>
      <c r="S468" s="100"/>
      <c r="T468" s="91"/>
      <c r="U468" s="101"/>
      <c r="V468" s="61"/>
      <c r="W468" s="61"/>
    </row>
    <row r="469" spans="3:23" x14ac:dyDescent="0.25">
      <c r="C469" s="127"/>
      <c r="D469" s="128"/>
      <c r="E469" s="128"/>
      <c r="F469" s="128"/>
      <c r="G469" s="128"/>
      <c r="H469" s="124"/>
      <c r="I469" s="124"/>
      <c r="K469" s="86"/>
      <c r="L469" s="87"/>
      <c r="O469" s="92"/>
      <c r="Q469" s="93"/>
      <c r="S469" s="100"/>
      <c r="T469" s="91"/>
      <c r="U469" s="101"/>
      <c r="V469" s="61"/>
      <c r="W469" s="61"/>
    </row>
    <row r="470" spans="3:23" x14ac:dyDescent="0.25">
      <c r="C470" s="125"/>
      <c r="D470" s="126"/>
      <c r="E470" s="126"/>
      <c r="F470" s="126"/>
      <c r="G470" s="126"/>
      <c r="H470" s="124"/>
      <c r="I470" s="124"/>
      <c r="K470" s="86"/>
      <c r="L470" s="87"/>
      <c r="O470" s="92"/>
      <c r="Q470" s="93"/>
      <c r="S470" s="100"/>
      <c r="T470" s="91"/>
      <c r="U470" s="101"/>
      <c r="V470" s="61"/>
      <c r="W470" s="61"/>
    </row>
    <row r="471" spans="3:23" x14ac:dyDescent="0.25">
      <c r="C471" s="127"/>
      <c r="D471" s="128"/>
      <c r="E471" s="128"/>
      <c r="F471" s="128"/>
      <c r="G471" s="128"/>
      <c r="H471" s="124"/>
      <c r="I471" s="124"/>
      <c r="K471" s="86"/>
      <c r="L471" s="87"/>
      <c r="O471" s="92"/>
      <c r="Q471" s="93"/>
      <c r="S471" s="100"/>
      <c r="T471" s="91"/>
      <c r="U471" s="101"/>
      <c r="V471" s="61"/>
      <c r="W471" s="61"/>
    </row>
    <row r="472" spans="3:23" x14ac:dyDescent="0.25">
      <c r="C472" s="125"/>
      <c r="D472" s="126"/>
      <c r="E472" s="126"/>
      <c r="F472" s="126"/>
      <c r="G472" s="126"/>
      <c r="H472" s="124"/>
      <c r="I472" s="124"/>
      <c r="K472" s="86"/>
      <c r="L472" s="87"/>
      <c r="O472" s="92"/>
      <c r="Q472" s="93"/>
      <c r="S472" s="100"/>
      <c r="T472" s="91"/>
      <c r="U472" s="101"/>
      <c r="V472" s="61"/>
      <c r="W472" s="61"/>
    </row>
    <row r="473" spans="3:23" x14ac:dyDescent="0.25">
      <c r="C473" s="127"/>
      <c r="D473" s="128"/>
      <c r="E473" s="128"/>
      <c r="F473" s="128"/>
      <c r="G473" s="128"/>
      <c r="H473" s="124"/>
      <c r="I473" s="124"/>
      <c r="K473" s="86"/>
      <c r="L473" s="87"/>
      <c r="O473" s="92"/>
      <c r="Q473" s="93"/>
      <c r="S473" s="100"/>
      <c r="T473" s="91"/>
      <c r="U473" s="101"/>
      <c r="V473" s="61"/>
      <c r="W473" s="61"/>
    </row>
    <row r="474" spans="3:23" x14ac:dyDescent="0.25">
      <c r="C474" s="125"/>
      <c r="D474" s="126"/>
      <c r="E474" s="126"/>
      <c r="F474" s="126"/>
      <c r="G474" s="126"/>
      <c r="H474" s="124"/>
      <c r="I474" s="124"/>
      <c r="K474" s="86"/>
      <c r="L474" s="87"/>
      <c r="O474" s="92"/>
      <c r="Q474" s="93"/>
      <c r="S474" s="100"/>
      <c r="T474" s="91"/>
      <c r="U474" s="101"/>
      <c r="V474" s="61"/>
      <c r="W474" s="61"/>
    </row>
    <row r="475" spans="3:23" x14ac:dyDescent="0.25">
      <c r="C475" s="127"/>
      <c r="D475" s="128"/>
      <c r="E475" s="128"/>
      <c r="F475" s="128"/>
      <c r="G475" s="128"/>
      <c r="H475" s="124"/>
      <c r="I475" s="124"/>
      <c r="K475" s="86"/>
      <c r="L475" s="87"/>
      <c r="O475" s="92"/>
      <c r="Q475" s="93"/>
      <c r="S475" s="100"/>
      <c r="T475" s="91"/>
      <c r="U475" s="101"/>
      <c r="V475" s="61"/>
      <c r="W475" s="61"/>
    </row>
    <row r="476" spans="3:23" x14ac:dyDescent="0.25">
      <c r="C476" s="125"/>
      <c r="D476" s="126"/>
      <c r="E476" s="126"/>
      <c r="F476" s="126"/>
      <c r="G476" s="126"/>
      <c r="H476" s="124"/>
      <c r="I476" s="124"/>
      <c r="K476" s="86"/>
      <c r="L476" s="87"/>
      <c r="O476" s="92"/>
      <c r="Q476" s="93"/>
      <c r="S476" s="100"/>
      <c r="T476" s="91"/>
      <c r="U476" s="101"/>
      <c r="V476" s="61"/>
      <c r="W476" s="61"/>
    </row>
    <row r="477" spans="3:23" x14ac:dyDescent="0.25">
      <c r="C477" s="127"/>
      <c r="D477" s="128"/>
      <c r="E477" s="128"/>
      <c r="F477" s="128"/>
      <c r="G477" s="128"/>
      <c r="H477" s="124"/>
      <c r="I477" s="124"/>
      <c r="K477" s="86"/>
      <c r="L477" s="87"/>
      <c r="O477" s="92"/>
      <c r="Q477" s="93"/>
      <c r="S477" s="100"/>
      <c r="T477" s="91"/>
      <c r="U477" s="101"/>
      <c r="V477" s="61"/>
      <c r="W477" s="61"/>
    </row>
    <row r="478" spans="3:23" x14ac:dyDescent="0.25">
      <c r="C478" s="125"/>
      <c r="D478" s="126"/>
      <c r="E478" s="126"/>
      <c r="F478" s="126"/>
      <c r="G478" s="126"/>
      <c r="H478" s="124"/>
      <c r="I478" s="124"/>
      <c r="K478" s="86"/>
      <c r="L478" s="87"/>
      <c r="O478" s="92"/>
      <c r="Q478" s="93"/>
      <c r="S478" s="100"/>
      <c r="T478" s="91"/>
      <c r="U478" s="101"/>
      <c r="V478" s="61"/>
      <c r="W478" s="61"/>
    </row>
    <row r="479" spans="3:23" x14ac:dyDescent="0.25">
      <c r="C479" s="127"/>
      <c r="D479" s="128"/>
      <c r="E479" s="128"/>
      <c r="F479" s="128"/>
      <c r="G479" s="128"/>
      <c r="H479" s="124"/>
      <c r="I479" s="124"/>
      <c r="K479" s="86"/>
      <c r="L479" s="87"/>
      <c r="O479" s="92"/>
      <c r="Q479" s="93"/>
      <c r="S479" s="100"/>
      <c r="T479" s="91"/>
      <c r="U479" s="101"/>
      <c r="V479" s="61"/>
      <c r="W479" s="61"/>
    </row>
    <row r="480" spans="3:23" x14ac:dyDescent="0.25">
      <c r="C480" s="125"/>
      <c r="D480" s="126"/>
      <c r="E480" s="126"/>
      <c r="F480" s="126"/>
      <c r="G480" s="126"/>
      <c r="H480" s="124"/>
      <c r="I480" s="124"/>
      <c r="K480" s="86"/>
      <c r="L480" s="87"/>
      <c r="O480" s="92"/>
      <c r="Q480" s="93"/>
      <c r="S480" s="100"/>
      <c r="T480" s="91"/>
      <c r="U480" s="101"/>
      <c r="V480" s="61"/>
      <c r="W480" s="61"/>
    </row>
    <row r="481" spans="3:23" x14ac:dyDescent="0.25">
      <c r="C481" s="127"/>
      <c r="D481" s="128"/>
      <c r="E481" s="128"/>
      <c r="F481" s="128"/>
      <c r="G481" s="128"/>
      <c r="H481" s="124"/>
      <c r="I481" s="124"/>
      <c r="K481" s="86"/>
      <c r="L481" s="87"/>
      <c r="O481" s="92"/>
      <c r="Q481" s="93"/>
      <c r="S481" s="100"/>
      <c r="T481" s="91"/>
      <c r="U481" s="101"/>
      <c r="V481" s="61"/>
      <c r="W481" s="61"/>
    </row>
    <row r="482" spans="3:23" x14ac:dyDescent="0.25">
      <c r="C482" s="125"/>
      <c r="D482" s="126"/>
      <c r="E482" s="126"/>
      <c r="F482" s="126"/>
      <c r="G482" s="126"/>
      <c r="H482" s="124"/>
      <c r="I482" s="124"/>
      <c r="K482" s="86"/>
      <c r="L482" s="87"/>
      <c r="O482" s="92"/>
      <c r="Q482" s="93"/>
      <c r="S482" s="100"/>
      <c r="T482" s="91"/>
      <c r="U482" s="101"/>
      <c r="V482" s="61"/>
      <c r="W482" s="61"/>
    </row>
    <row r="483" spans="3:23" x14ac:dyDescent="0.25">
      <c r="C483" s="127"/>
      <c r="D483" s="128"/>
      <c r="E483" s="128"/>
      <c r="F483" s="128"/>
      <c r="G483" s="128"/>
      <c r="H483" s="124"/>
      <c r="I483" s="124"/>
      <c r="K483" s="86"/>
      <c r="L483" s="87"/>
      <c r="O483" s="92"/>
      <c r="Q483" s="93"/>
      <c r="S483" s="100"/>
      <c r="T483" s="91"/>
      <c r="U483" s="101"/>
      <c r="V483" s="61"/>
      <c r="W483" s="61"/>
    </row>
    <row r="484" spans="3:23" x14ac:dyDescent="0.25">
      <c r="C484" s="125"/>
      <c r="D484" s="126"/>
      <c r="E484" s="126"/>
      <c r="F484" s="126"/>
      <c r="G484" s="126"/>
      <c r="H484" s="124"/>
      <c r="I484" s="124"/>
      <c r="K484" s="86"/>
      <c r="L484" s="87"/>
      <c r="O484" s="92"/>
      <c r="Q484" s="93"/>
      <c r="S484" s="100"/>
      <c r="T484" s="91"/>
      <c r="U484" s="101"/>
      <c r="V484" s="61"/>
      <c r="W484" s="61"/>
    </row>
    <row r="485" spans="3:23" x14ac:dyDescent="0.25">
      <c r="C485" s="127"/>
      <c r="D485" s="128"/>
      <c r="E485" s="128"/>
      <c r="F485" s="128"/>
      <c r="G485" s="128"/>
      <c r="H485" s="124"/>
      <c r="I485" s="124"/>
      <c r="K485" s="86"/>
      <c r="L485" s="87"/>
      <c r="O485" s="92"/>
      <c r="Q485" s="93"/>
      <c r="S485" s="100"/>
      <c r="T485" s="91"/>
      <c r="U485" s="101"/>
      <c r="V485" s="61"/>
      <c r="W485" s="61"/>
    </row>
    <row r="486" spans="3:23" x14ac:dyDescent="0.25">
      <c r="C486" s="125"/>
      <c r="D486" s="126"/>
      <c r="E486" s="126"/>
      <c r="F486" s="126"/>
      <c r="G486" s="126"/>
      <c r="H486" s="124"/>
      <c r="I486" s="124"/>
      <c r="K486" s="86"/>
      <c r="L486" s="87"/>
      <c r="O486" s="92"/>
      <c r="Q486" s="93"/>
      <c r="S486" s="100"/>
      <c r="T486" s="91"/>
      <c r="U486" s="101"/>
      <c r="V486" s="61"/>
      <c r="W486" s="61"/>
    </row>
    <row r="487" spans="3:23" x14ac:dyDescent="0.25">
      <c r="C487" s="127"/>
      <c r="D487" s="128"/>
      <c r="E487" s="128"/>
      <c r="F487" s="128"/>
      <c r="G487" s="128"/>
      <c r="H487" s="124"/>
      <c r="I487" s="124"/>
      <c r="K487" s="86"/>
      <c r="L487" s="87"/>
      <c r="O487" s="92"/>
      <c r="Q487" s="93"/>
      <c r="S487" s="100"/>
      <c r="T487" s="91"/>
      <c r="U487" s="101"/>
      <c r="V487" s="61"/>
      <c r="W487" s="61"/>
    </row>
    <row r="488" spans="3:23" x14ac:dyDescent="0.25">
      <c r="C488" s="125"/>
      <c r="D488" s="126"/>
      <c r="E488" s="126"/>
      <c r="F488" s="126"/>
      <c r="G488" s="126"/>
      <c r="H488" s="124"/>
      <c r="I488" s="124"/>
      <c r="K488" s="86"/>
      <c r="L488" s="87"/>
      <c r="O488" s="92"/>
      <c r="Q488" s="93"/>
      <c r="S488" s="100"/>
      <c r="T488" s="91"/>
      <c r="U488" s="101"/>
      <c r="V488" s="61"/>
      <c r="W488" s="61"/>
    </row>
    <row r="489" spans="3:23" x14ac:dyDescent="0.25">
      <c r="C489" s="127"/>
      <c r="D489" s="128"/>
      <c r="E489" s="128"/>
      <c r="F489" s="128"/>
      <c r="G489" s="128"/>
      <c r="H489" s="124"/>
      <c r="I489" s="124"/>
      <c r="K489" s="86"/>
      <c r="L489" s="87"/>
      <c r="O489" s="92"/>
      <c r="Q489" s="93"/>
      <c r="S489" s="100"/>
      <c r="T489" s="91"/>
      <c r="U489" s="101"/>
      <c r="V489" s="61"/>
      <c r="W489" s="61"/>
    </row>
    <row r="490" spans="3:23" x14ac:dyDescent="0.25">
      <c r="C490" s="125"/>
      <c r="D490" s="126"/>
      <c r="E490" s="126"/>
      <c r="F490" s="126"/>
      <c r="G490" s="126"/>
      <c r="H490" s="124"/>
      <c r="I490" s="124"/>
      <c r="K490" s="86"/>
      <c r="L490" s="87"/>
      <c r="O490" s="92"/>
      <c r="Q490" s="93"/>
      <c r="S490" s="100"/>
      <c r="T490" s="91"/>
      <c r="U490" s="101"/>
      <c r="V490" s="61"/>
      <c r="W490" s="61"/>
    </row>
    <row r="491" spans="3:23" x14ac:dyDescent="0.25">
      <c r="C491" s="127"/>
      <c r="D491" s="128"/>
      <c r="E491" s="128"/>
      <c r="F491" s="128"/>
      <c r="G491" s="128"/>
      <c r="H491" s="124"/>
      <c r="I491" s="124"/>
      <c r="K491" s="86"/>
      <c r="L491" s="87"/>
      <c r="O491" s="92"/>
      <c r="Q491" s="93"/>
      <c r="S491" s="100"/>
      <c r="T491" s="91"/>
      <c r="U491" s="101"/>
      <c r="V491" s="61"/>
      <c r="W491" s="61"/>
    </row>
    <row r="492" spans="3:23" x14ac:dyDescent="0.25">
      <c r="C492" s="125"/>
      <c r="D492" s="126"/>
      <c r="E492" s="126"/>
      <c r="F492" s="126"/>
      <c r="G492" s="126"/>
      <c r="H492" s="124"/>
      <c r="I492" s="124"/>
      <c r="K492" s="86"/>
      <c r="L492" s="87"/>
      <c r="O492" s="92"/>
      <c r="Q492" s="93"/>
      <c r="S492" s="100"/>
      <c r="T492" s="91"/>
      <c r="U492" s="101"/>
      <c r="V492" s="61"/>
      <c r="W492" s="61"/>
    </row>
    <row r="493" spans="3:23" x14ac:dyDescent="0.25">
      <c r="C493" s="127"/>
      <c r="D493" s="128"/>
      <c r="E493" s="128"/>
      <c r="F493" s="128"/>
      <c r="G493" s="128"/>
      <c r="H493" s="124"/>
      <c r="I493" s="124"/>
      <c r="K493" s="86"/>
      <c r="L493" s="87"/>
      <c r="O493" s="92"/>
      <c r="Q493" s="93"/>
      <c r="S493" s="100"/>
      <c r="T493" s="91"/>
      <c r="U493" s="101"/>
      <c r="V493" s="61"/>
      <c r="W493" s="61"/>
    </row>
    <row r="494" spans="3:23" x14ac:dyDescent="0.25">
      <c r="C494" s="125"/>
      <c r="D494" s="126"/>
      <c r="E494" s="126"/>
      <c r="F494" s="126"/>
      <c r="G494" s="126"/>
      <c r="H494" s="124"/>
      <c r="I494" s="124"/>
      <c r="K494" s="86"/>
      <c r="L494" s="87"/>
      <c r="O494" s="92"/>
      <c r="Q494" s="93"/>
      <c r="S494" s="100"/>
      <c r="T494" s="91"/>
      <c r="U494" s="101"/>
      <c r="V494" s="61"/>
      <c r="W494" s="61"/>
    </row>
    <row r="495" spans="3:23" x14ac:dyDescent="0.25">
      <c r="C495" s="127"/>
      <c r="D495" s="128"/>
      <c r="E495" s="128"/>
      <c r="F495" s="128"/>
      <c r="G495" s="128"/>
      <c r="H495" s="124"/>
      <c r="I495" s="124"/>
      <c r="K495" s="86"/>
      <c r="L495" s="87"/>
      <c r="O495" s="92"/>
      <c r="Q495" s="93"/>
      <c r="S495" s="100"/>
      <c r="T495" s="91"/>
      <c r="U495" s="101"/>
      <c r="V495" s="61"/>
      <c r="W495" s="61"/>
    </row>
    <row r="496" spans="3:23" x14ac:dyDescent="0.25">
      <c r="C496" s="125"/>
      <c r="D496" s="126"/>
      <c r="E496" s="126"/>
      <c r="F496" s="126"/>
      <c r="G496" s="126"/>
      <c r="H496" s="124"/>
      <c r="I496" s="124"/>
      <c r="K496" s="86"/>
      <c r="L496" s="87"/>
      <c r="O496" s="92"/>
      <c r="Q496" s="93"/>
      <c r="S496" s="100"/>
      <c r="T496" s="91"/>
      <c r="U496" s="101"/>
      <c r="V496" s="61"/>
      <c r="W496" s="61"/>
    </row>
    <row r="497" spans="3:23" x14ac:dyDescent="0.25">
      <c r="C497" s="127"/>
      <c r="D497" s="128"/>
      <c r="E497" s="128"/>
      <c r="F497" s="128"/>
      <c r="G497" s="128"/>
      <c r="H497" s="124"/>
      <c r="I497" s="124"/>
      <c r="K497" s="86"/>
      <c r="L497" s="87"/>
      <c r="O497" s="92"/>
      <c r="Q497" s="93"/>
      <c r="S497" s="100"/>
      <c r="T497" s="91"/>
      <c r="U497" s="101"/>
      <c r="V497" s="61"/>
      <c r="W497" s="61"/>
    </row>
    <row r="498" spans="3:23" x14ac:dyDescent="0.25">
      <c r="C498" s="125"/>
      <c r="D498" s="126"/>
      <c r="E498" s="126"/>
      <c r="F498" s="126"/>
      <c r="G498" s="126"/>
      <c r="H498" s="124"/>
      <c r="I498" s="124"/>
      <c r="K498" s="86"/>
      <c r="L498" s="87"/>
      <c r="O498" s="92"/>
      <c r="Q498" s="93"/>
      <c r="S498" s="100"/>
      <c r="T498" s="91"/>
      <c r="U498" s="101"/>
      <c r="V498" s="61"/>
      <c r="W498" s="61"/>
    </row>
    <row r="499" spans="3:23" x14ac:dyDescent="0.25">
      <c r="C499" s="127"/>
      <c r="D499" s="128"/>
      <c r="E499" s="128"/>
      <c r="F499" s="128"/>
      <c r="G499" s="128"/>
      <c r="H499" s="124"/>
      <c r="I499" s="124"/>
      <c r="K499" s="86"/>
      <c r="L499" s="87"/>
      <c r="O499" s="92"/>
      <c r="Q499" s="93"/>
      <c r="S499" s="100"/>
      <c r="T499" s="91"/>
      <c r="U499" s="101"/>
      <c r="V499" s="61"/>
      <c r="W499" s="61"/>
    </row>
    <row r="500" spans="3:23" x14ac:dyDescent="0.25">
      <c r="C500" s="125"/>
      <c r="D500" s="126"/>
      <c r="E500" s="126"/>
      <c r="F500" s="126"/>
      <c r="G500" s="126"/>
      <c r="H500" s="124"/>
      <c r="I500" s="124"/>
      <c r="K500" s="86"/>
      <c r="L500" s="87"/>
      <c r="O500" s="92"/>
      <c r="Q500" s="93"/>
      <c r="S500" s="100"/>
      <c r="T500" s="91"/>
      <c r="U500" s="101"/>
      <c r="V500" s="61"/>
      <c r="W500" s="61"/>
    </row>
    <row r="501" spans="3:23" x14ac:dyDescent="0.25">
      <c r="C501" s="127"/>
      <c r="D501" s="128"/>
      <c r="E501" s="128"/>
      <c r="F501" s="128"/>
      <c r="G501" s="128"/>
      <c r="H501" s="124"/>
      <c r="I501" s="124"/>
      <c r="K501" s="86"/>
      <c r="L501" s="87"/>
      <c r="O501" s="92"/>
      <c r="Q501" s="93"/>
      <c r="S501" s="100"/>
      <c r="T501" s="91"/>
      <c r="U501" s="101"/>
      <c r="V501" s="61"/>
      <c r="W501" s="61"/>
    </row>
    <row r="502" spans="3:23" x14ac:dyDescent="0.25">
      <c r="C502" s="125"/>
      <c r="D502" s="126"/>
      <c r="E502" s="126"/>
      <c r="F502" s="126"/>
      <c r="G502" s="126"/>
      <c r="H502" s="124"/>
      <c r="I502" s="124"/>
      <c r="K502" s="86"/>
      <c r="L502" s="87"/>
      <c r="O502" s="92"/>
      <c r="Q502" s="93"/>
      <c r="S502" s="100"/>
      <c r="T502" s="91"/>
      <c r="U502" s="101"/>
      <c r="V502" s="61"/>
      <c r="W502" s="61"/>
    </row>
    <row r="503" spans="3:23" x14ac:dyDescent="0.25">
      <c r="C503" s="127"/>
      <c r="D503" s="128"/>
      <c r="E503" s="128"/>
      <c r="F503" s="128"/>
      <c r="G503" s="128"/>
      <c r="H503" s="124"/>
      <c r="I503" s="124"/>
      <c r="K503" s="86"/>
      <c r="L503" s="87"/>
      <c r="O503" s="92"/>
      <c r="Q503" s="93"/>
      <c r="S503" s="100"/>
      <c r="T503" s="91"/>
      <c r="U503" s="101"/>
      <c r="V503" s="61"/>
      <c r="W503" s="61"/>
    </row>
    <row r="504" spans="3:23" x14ac:dyDescent="0.25">
      <c r="C504" s="125"/>
      <c r="D504" s="126"/>
      <c r="E504" s="126"/>
      <c r="F504" s="126"/>
      <c r="G504" s="126"/>
      <c r="H504" s="124"/>
      <c r="I504" s="124"/>
      <c r="K504" s="86"/>
      <c r="L504" s="87"/>
      <c r="O504" s="92"/>
      <c r="Q504" s="93"/>
      <c r="S504" s="100"/>
      <c r="T504" s="91"/>
      <c r="U504" s="101"/>
      <c r="V504" s="61"/>
      <c r="W504" s="61"/>
    </row>
    <row r="505" spans="3:23" x14ac:dyDescent="0.25">
      <c r="C505" s="127"/>
      <c r="D505" s="128"/>
      <c r="E505" s="128"/>
      <c r="F505" s="128"/>
      <c r="G505" s="128"/>
      <c r="H505" s="124"/>
      <c r="I505" s="124"/>
      <c r="K505" s="86"/>
      <c r="L505" s="87"/>
      <c r="O505" s="92"/>
      <c r="Q505" s="93"/>
      <c r="S505" s="100"/>
      <c r="T505" s="91"/>
      <c r="U505" s="101"/>
      <c r="V505" s="61"/>
      <c r="W505" s="61"/>
    </row>
    <row r="506" spans="3:23" x14ac:dyDescent="0.25">
      <c r="C506" s="125"/>
      <c r="D506" s="126"/>
      <c r="E506" s="126"/>
      <c r="F506" s="126"/>
      <c r="G506" s="126"/>
      <c r="H506" s="124"/>
      <c r="I506" s="124"/>
      <c r="K506" s="86"/>
      <c r="L506" s="87"/>
      <c r="O506" s="92"/>
      <c r="Q506" s="93"/>
      <c r="S506" s="100"/>
      <c r="T506" s="91"/>
      <c r="U506" s="101"/>
      <c r="V506" s="61"/>
      <c r="W506" s="61"/>
    </row>
    <row r="507" spans="3:23" x14ac:dyDescent="0.25">
      <c r="C507" s="127"/>
      <c r="D507" s="128"/>
      <c r="E507" s="128"/>
      <c r="F507" s="128"/>
      <c r="G507" s="128"/>
      <c r="H507" s="124"/>
      <c r="I507" s="124"/>
      <c r="K507" s="86"/>
      <c r="L507" s="87"/>
      <c r="O507" s="92"/>
      <c r="Q507" s="93"/>
      <c r="S507" s="100"/>
      <c r="T507" s="91"/>
      <c r="U507" s="101"/>
      <c r="V507" s="61"/>
      <c r="W507" s="61"/>
    </row>
    <row r="508" spans="3:23" x14ac:dyDescent="0.25">
      <c r="C508" s="125"/>
      <c r="D508" s="126"/>
      <c r="E508" s="126"/>
      <c r="F508" s="126"/>
      <c r="G508" s="126"/>
      <c r="H508" s="124"/>
      <c r="I508" s="124"/>
      <c r="K508" s="86"/>
      <c r="L508" s="87"/>
      <c r="O508" s="92"/>
      <c r="Q508" s="93"/>
      <c r="S508" s="100"/>
      <c r="T508" s="91"/>
      <c r="U508" s="101"/>
      <c r="V508" s="61"/>
      <c r="W508" s="61"/>
    </row>
    <row r="509" spans="3:23" x14ac:dyDescent="0.25">
      <c r="C509" s="127"/>
      <c r="D509" s="128"/>
      <c r="E509" s="128"/>
      <c r="F509" s="128"/>
      <c r="G509" s="128"/>
      <c r="H509" s="124"/>
      <c r="I509" s="124"/>
      <c r="K509" s="86"/>
      <c r="L509" s="87"/>
      <c r="O509" s="92"/>
      <c r="Q509" s="93"/>
      <c r="S509" s="100"/>
      <c r="T509" s="91"/>
      <c r="U509" s="101"/>
      <c r="V509" s="61"/>
      <c r="W509" s="61"/>
    </row>
    <row r="510" spans="3:23" x14ac:dyDescent="0.25">
      <c r="C510" s="125"/>
      <c r="D510" s="126"/>
      <c r="E510" s="126"/>
      <c r="F510" s="126"/>
      <c r="G510" s="126"/>
      <c r="H510" s="124"/>
      <c r="I510" s="124"/>
      <c r="K510" s="86"/>
      <c r="L510" s="87"/>
      <c r="O510" s="92"/>
      <c r="Q510" s="93"/>
      <c r="S510" s="100"/>
      <c r="T510" s="91"/>
      <c r="U510" s="101"/>
      <c r="V510" s="61"/>
      <c r="W510" s="61"/>
    </row>
    <row r="511" spans="3:23" x14ac:dyDescent="0.25">
      <c r="C511" s="127"/>
      <c r="D511" s="128"/>
      <c r="E511" s="128"/>
      <c r="F511" s="128"/>
      <c r="G511" s="128"/>
      <c r="H511" s="124"/>
      <c r="I511" s="124"/>
      <c r="K511" s="86"/>
      <c r="L511" s="87"/>
      <c r="O511" s="92"/>
      <c r="Q511" s="93"/>
      <c r="S511" s="100"/>
      <c r="T511" s="91"/>
      <c r="U511" s="101"/>
      <c r="V511" s="61"/>
      <c r="W511" s="61"/>
    </row>
    <row r="512" spans="3:23" x14ac:dyDescent="0.25">
      <c r="C512" s="125"/>
      <c r="D512" s="126"/>
      <c r="E512" s="126"/>
      <c r="F512" s="126"/>
      <c r="G512" s="126"/>
      <c r="H512" s="124"/>
      <c r="I512" s="124"/>
      <c r="K512" s="86"/>
      <c r="L512" s="87"/>
      <c r="O512" s="92"/>
      <c r="Q512" s="93"/>
      <c r="S512" s="100"/>
      <c r="T512" s="91"/>
      <c r="U512" s="101"/>
      <c r="V512" s="61"/>
      <c r="W512" s="61"/>
    </row>
    <row r="513" spans="3:23" x14ac:dyDescent="0.25">
      <c r="C513" s="127"/>
      <c r="D513" s="128"/>
      <c r="E513" s="128"/>
      <c r="F513" s="128"/>
      <c r="G513" s="128"/>
      <c r="H513" s="124"/>
      <c r="I513" s="124"/>
      <c r="K513" s="86"/>
      <c r="L513" s="87"/>
      <c r="O513" s="92"/>
      <c r="Q513" s="93"/>
      <c r="S513" s="100"/>
      <c r="T513" s="91"/>
      <c r="U513" s="101"/>
      <c r="V513" s="61"/>
      <c r="W513" s="61"/>
    </row>
    <row r="514" spans="3:23" x14ac:dyDescent="0.25">
      <c r="C514" s="125"/>
      <c r="D514" s="126"/>
      <c r="E514" s="126"/>
      <c r="F514" s="126"/>
      <c r="G514" s="126"/>
      <c r="H514" s="124"/>
      <c r="I514" s="124"/>
      <c r="K514" s="86"/>
      <c r="L514" s="87"/>
      <c r="O514" s="92"/>
      <c r="Q514" s="93"/>
      <c r="S514" s="100"/>
      <c r="T514" s="91"/>
      <c r="U514" s="101"/>
      <c r="V514" s="61"/>
      <c r="W514" s="61"/>
    </row>
    <row r="515" spans="3:23" x14ac:dyDescent="0.25">
      <c r="C515" s="127"/>
      <c r="D515" s="128"/>
      <c r="E515" s="128"/>
      <c r="F515" s="128"/>
      <c r="G515" s="128"/>
      <c r="H515" s="124"/>
      <c r="I515" s="124"/>
      <c r="K515" s="86"/>
      <c r="L515" s="87"/>
      <c r="O515" s="92"/>
      <c r="Q515" s="93"/>
      <c r="S515" s="100"/>
      <c r="T515" s="91"/>
      <c r="U515" s="101"/>
      <c r="V515" s="61"/>
      <c r="W515" s="61"/>
    </row>
    <row r="516" spans="3:23" x14ac:dyDescent="0.25">
      <c r="C516" s="125"/>
      <c r="D516" s="126"/>
      <c r="E516" s="126"/>
      <c r="F516" s="126"/>
      <c r="G516" s="126"/>
      <c r="H516" s="124"/>
      <c r="I516" s="124"/>
      <c r="K516" s="86"/>
      <c r="L516" s="87"/>
      <c r="O516" s="92"/>
      <c r="Q516" s="93"/>
      <c r="S516" s="100"/>
      <c r="T516" s="91"/>
      <c r="U516" s="101"/>
      <c r="V516" s="61"/>
      <c r="W516" s="61"/>
    </row>
    <row r="517" spans="3:23" x14ac:dyDescent="0.25">
      <c r="C517" s="127"/>
      <c r="D517" s="128"/>
      <c r="E517" s="128"/>
      <c r="F517" s="128"/>
      <c r="G517" s="128"/>
      <c r="H517" s="124"/>
      <c r="I517" s="124"/>
      <c r="K517" s="86"/>
      <c r="L517" s="87"/>
      <c r="O517" s="92"/>
      <c r="Q517" s="93"/>
      <c r="S517" s="100"/>
      <c r="T517" s="91"/>
      <c r="U517" s="101"/>
      <c r="V517" s="61"/>
      <c r="W517" s="61"/>
    </row>
    <row r="518" spans="3:23" x14ac:dyDescent="0.25">
      <c r="C518" s="125"/>
      <c r="D518" s="126"/>
      <c r="E518" s="126"/>
      <c r="F518" s="126"/>
      <c r="G518" s="126"/>
      <c r="H518" s="124"/>
      <c r="I518" s="124"/>
      <c r="K518" s="86"/>
      <c r="L518" s="87"/>
      <c r="O518" s="92"/>
      <c r="Q518" s="93"/>
      <c r="S518" s="100"/>
      <c r="T518" s="91"/>
      <c r="U518" s="101"/>
      <c r="V518" s="61"/>
      <c r="W518" s="61"/>
    </row>
    <row r="519" spans="3:23" x14ac:dyDescent="0.25">
      <c r="C519" s="127"/>
      <c r="D519" s="128"/>
      <c r="E519" s="128"/>
      <c r="F519" s="128"/>
      <c r="G519" s="128"/>
      <c r="H519" s="124"/>
      <c r="I519" s="124"/>
      <c r="K519" s="86"/>
      <c r="L519" s="87"/>
      <c r="O519" s="92"/>
      <c r="Q519" s="93"/>
      <c r="S519" s="100"/>
      <c r="T519" s="91"/>
      <c r="U519" s="101"/>
      <c r="V519" s="61"/>
      <c r="W519" s="61"/>
    </row>
    <row r="520" spans="3:23" x14ac:dyDescent="0.25">
      <c r="C520" s="125"/>
      <c r="D520" s="126"/>
      <c r="E520" s="126"/>
      <c r="F520" s="126"/>
      <c r="G520" s="126"/>
      <c r="H520" s="124"/>
      <c r="I520" s="124"/>
      <c r="K520" s="86"/>
      <c r="L520" s="87"/>
      <c r="O520" s="92"/>
      <c r="Q520" s="93"/>
      <c r="S520" s="100"/>
      <c r="T520" s="91"/>
      <c r="U520" s="101"/>
      <c r="V520" s="61"/>
      <c r="W520" s="61"/>
    </row>
    <row r="521" spans="3:23" x14ac:dyDescent="0.25">
      <c r="C521" s="127"/>
      <c r="D521" s="128"/>
      <c r="E521" s="128"/>
      <c r="F521" s="128"/>
      <c r="G521" s="128"/>
      <c r="H521" s="124"/>
      <c r="I521" s="124"/>
      <c r="K521" s="86"/>
      <c r="L521" s="87"/>
      <c r="O521" s="92"/>
      <c r="Q521" s="93"/>
      <c r="S521" s="100"/>
      <c r="T521" s="91"/>
      <c r="U521" s="101"/>
      <c r="V521" s="61"/>
      <c r="W521" s="61"/>
    </row>
    <row r="522" spans="3:23" x14ac:dyDescent="0.25">
      <c r="C522" s="125"/>
      <c r="D522" s="126"/>
      <c r="E522" s="126"/>
      <c r="F522" s="126"/>
      <c r="G522" s="126"/>
      <c r="H522" s="124"/>
      <c r="I522" s="124"/>
      <c r="K522" s="86"/>
      <c r="L522" s="87"/>
      <c r="O522" s="92"/>
      <c r="Q522" s="93"/>
      <c r="S522" s="100"/>
      <c r="T522" s="91"/>
      <c r="U522" s="101"/>
      <c r="V522" s="61"/>
      <c r="W522" s="61"/>
    </row>
    <row r="523" spans="3:23" x14ac:dyDescent="0.25">
      <c r="C523" s="127"/>
      <c r="D523" s="128"/>
      <c r="E523" s="128"/>
      <c r="F523" s="128"/>
      <c r="G523" s="128"/>
      <c r="H523" s="124"/>
      <c r="I523" s="124"/>
      <c r="K523" s="86"/>
      <c r="L523" s="87"/>
      <c r="O523" s="92"/>
      <c r="Q523" s="93"/>
      <c r="S523" s="100"/>
      <c r="T523" s="91"/>
      <c r="U523" s="101"/>
      <c r="V523" s="61"/>
      <c r="W523" s="61"/>
    </row>
    <row r="524" spans="3:23" x14ac:dyDescent="0.25">
      <c r="C524" s="125"/>
      <c r="D524" s="126"/>
      <c r="E524" s="126"/>
      <c r="F524" s="126"/>
      <c r="G524" s="126"/>
      <c r="H524" s="124"/>
      <c r="I524" s="124"/>
      <c r="K524" s="86"/>
      <c r="L524" s="87"/>
      <c r="O524" s="92"/>
      <c r="Q524" s="93"/>
      <c r="S524" s="100"/>
      <c r="T524" s="91"/>
      <c r="U524" s="101"/>
      <c r="V524" s="61"/>
      <c r="W524" s="61"/>
    </row>
    <row r="525" spans="3:23" x14ac:dyDescent="0.25">
      <c r="C525" s="127"/>
      <c r="D525" s="128"/>
      <c r="E525" s="128"/>
      <c r="F525" s="128"/>
      <c r="G525" s="128"/>
      <c r="H525" s="124"/>
      <c r="I525" s="124"/>
      <c r="K525" s="86"/>
      <c r="L525" s="87"/>
      <c r="O525" s="92"/>
      <c r="Q525" s="93"/>
      <c r="S525" s="100"/>
      <c r="T525" s="91"/>
      <c r="U525" s="101"/>
      <c r="V525" s="61"/>
      <c r="W525" s="61"/>
    </row>
    <row r="526" spans="3:23" x14ac:dyDescent="0.25">
      <c r="C526" s="125"/>
      <c r="D526" s="126"/>
      <c r="E526" s="126"/>
      <c r="F526" s="126"/>
      <c r="G526" s="126"/>
      <c r="H526" s="124"/>
      <c r="I526" s="124"/>
      <c r="K526" s="86"/>
      <c r="L526" s="87"/>
      <c r="O526" s="92"/>
      <c r="Q526" s="93"/>
      <c r="S526" s="100"/>
      <c r="T526" s="91"/>
      <c r="U526" s="101"/>
      <c r="V526" s="61"/>
      <c r="W526" s="61"/>
    </row>
    <row r="527" spans="3:23" x14ac:dyDescent="0.25">
      <c r="C527" s="127"/>
      <c r="D527" s="128"/>
      <c r="E527" s="128"/>
      <c r="F527" s="128"/>
      <c r="G527" s="128"/>
      <c r="H527" s="124"/>
      <c r="I527" s="124"/>
      <c r="K527" s="86"/>
      <c r="L527" s="87"/>
      <c r="O527" s="92"/>
      <c r="Q527" s="93"/>
      <c r="S527" s="100"/>
      <c r="T527" s="91"/>
      <c r="U527" s="101"/>
      <c r="V527" s="61"/>
      <c r="W527" s="61"/>
    </row>
    <row r="528" spans="3:23" x14ac:dyDescent="0.25">
      <c r="C528" s="125"/>
      <c r="D528" s="126"/>
      <c r="E528" s="126"/>
      <c r="F528" s="126"/>
      <c r="G528" s="126"/>
      <c r="H528" s="124"/>
      <c r="I528" s="124"/>
      <c r="K528" s="86"/>
      <c r="L528" s="87"/>
      <c r="O528" s="92"/>
      <c r="Q528" s="93"/>
      <c r="S528" s="100"/>
      <c r="T528" s="91"/>
      <c r="U528" s="101"/>
      <c r="V528" s="61"/>
      <c r="W528" s="61"/>
    </row>
    <row r="529" spans="3:23" x14ac:dyDescent="0.25">
      <c r="C529" s="127"/>
      <c r="D529" s="128"/>
      <c r="E529" s="128"/>
      <c r="F529" s="128"/>
      <c r="G529" s="128"/>
      <c r="H529" s="124"/>
      <c r="I529" s="124"/>
      <c r="K529" s="86"/>
      <c r="L529" s="87"/>
      <c r="O529" s="92"/>
      <c r="Q529" s="93"/>
      <c r="S529" s="100"/>
      <c r="T529" s="91"/>
      <c r="U529" s="101"/>
      <c r="V529" s="61"/>
      <c r="W529" s="61"/>
    </row>
    <row r="530" spans="3:23" x14ac:dyDescent="0.25">
      <c r="C530" s="125"/>
      <c r="D530" s="126"/>
      <c r="E530" s="126"/>
      <c r="F530" s="126"/>
      <c r="G530" s="126"/>
      <c r="H530" s="124"/>
      <c r="I530" s="124"/>
      <c r="K530" s="86"/>
      <c r="L530" s="87"/>
      <c r="O530" s="92"/>
      <c r="Q530" s="93"/>
      <c r="S530" s="100"/>
      <c r="T530" s="91"/>
      <c r="U530" s="101"/>
      <c r="V530" s="61"/>
      <c r="W530" s="61"/>
    </row>
    <row r="531" spans="3:23" x14ac:dyDescent="0.25">
      <c r="C531" s="127"/>
      <c r="D531" s="128"/>
      <c r="E531" s="128"/>
      <c r="F531" s="128"/>
      <c r="G531" s="128"/>
      <c r="H531" s="124"/>
      <c r="I531" s="124"/>
      <c r="K531" s="86"/>
      <c r="L531" s="87"/>
      <c r="O531" s="92"/>
      <c r="Q531" s="93"/>
      <c r="S531" s="100"/>
      <c r="T531" s="91"/>
      <c r="U531" s="101"/>
      <c r="V531" s="61"/>
      <c r="W531" s="61"/>
    </row>
    <row r="532" spans="3:23" x14ac:dyDescent="0.25">
      <c r="C532" s="125"/>
      <c r="D532" s="126"/>
      <c r="E532" s="126"/>
      <c r="F532" s="126"/>
      <c r="G532" s="126"/>
      <c r="H532" s="124"/>
      <c r="I532" s="124"/>
      <c r="K532" s="86"/>
      <c r="L532" s="87"/>
      <c r="O532" s="92"/>
      <c r="Q532" s="93"/>
      <c r="S532" s="100"/>
      <c r="T532" s="91"/>
      <c r="U532" s="101"/>
      <c r="V532" s="61"/>
      <c r="W532" s="61"/>
    </row>
    <row r="533" spans="3:23" x14ac:dyDescent="0.25">
      <c r="C533" s="127"/>
      <c r="D533" s="128"/>
      <c r="E533" s="128"/>
      <c r="F533" s="128"/>
      <c r="G533" s="128"/>
      <c r="H533" s="124"/>
      <c r="I533" s="124"/>
      <c r="K533" s="86"/>
      <c r="L533" s="87"/>
      <c r="O533" s="92"/>
      <c r="Q533" s="93"/>
      <c r="S533" s="100"/>
      <c r="T533" s="91"/>
      <c r="U533" s="101"/>
      <c r="V533" s="61"/>
      <c r="W533" s="61"/>
    </row>
    <row r="534" spans="3:23" x14ac:dyDescent="0.25">
      <c r="C534" s="125"/>
      <c r="D534" s="126"/>
      <c r="E534" s="126"/>
      <c r="F534" s="126"/>
      <c r="G534" s="126"/>
      <c r="H534" s="124"/>
      <c r="I534" s="124"/>
      <c r="K534" s="86"/>
      <c r="L534" s="87"/>
      <c r="O534" s="92"/>
      <c r="Q534" s="93"/>
      <c r="S534" s="100"/>
      <c r="T534" s="91"/>
      <c r="U534" s="101"/>
      <c r="V534" s="61"/>
      <c r="W534" s="61"/>
    </row>
    <row r="535" spans="3:23" x14ac:dyDescent="0.25">
      <c r="C535" s="127"/>
      <c r="D535" s="128"/>
      <c r="E535" s="128"/>
      <c r="F535" s="128"/>
      <c r="G535" s="128"/>
      <c r="H535" s="124"/>
      <c r="I535" s="124"/>
      <c r="K535" s="86"/>
      <c r="L535" s="87"/>
      <c r="O535" s="92"/>
      <c r="Q535" s="93"/>
      <c r="S535" s="100"/>
      <c r="T535" s="91"/>
      <c r="U535" s="101"/>
      <c r="V535" s="61"/>
      <c r="W535" s="61"/>
    </row>
    <row r="536" spans="3:23" x14ac:dyDescent="0.25">
      <c r="C536" s="125"/>
      <c r="D536" s="126"/>
      <c r="E536" s="126"/>
      <c r="F536" s="126"/>
      <c r="G536" s="126"/>
      <c r="H536" s="124"/>
      <c r="I536" s="124"/>
      <c r="K536" s="86"/>
      <c r="L536" s="87"/>
      <c r="O536" s="92"/>
      <c r="Q536" s="93"/>
      <c r="S536" s="100"/>
      <c r="T536" s="91"/>
      <c r="U536" s="101"/>
      <c r="V536" s="61"/>
      <c r="W536" s="61"/>
    </row>
    <row r="537" spans="3:23" x14ac:dyDescent="0.25">
      <c r="C537" s="127"/>
      <c r="D537" s="128"/>
      <c r="E537" s="128"/>
      <c r="F537" s="128"/>
      <c r="G537" s="128"/>
      <c r="H537" s="124"/>
      <c r="I537" s="124"/>
      <c r="K537" s="86"/>
      <c r="L537" s="87"/>
      <c r="O537" s="92"/>
      <c r="Q537" s="93"/>
      <c r="S537" s="100"/>
      <c r="T537" s="91"/>
      <c r="U537" s="101"/>
      <c r="V537" s="61"/>
      <c r="W537" s="61"/>
    </row>
    <row r="538" spans="3:23" x14ac:dyDescent="0.25">
      <c r="C538" s="125"/>
      <c r="D538" s="126"/>
      <c r="E538" s="126"/>
      <c r="F538" s="126"/>
      <c r="G538" s="126"/>
      <c r="H538" s="124"/>
      <c r="I538" s="124"/>
      <c r="K538" s="86"/>
      <c r="L538" s="87"/>
      <c r="O538" s="92"/>
      <c r="Q538" s="93"/>
      <c r="S538" s="100"/>
      <c r="T538" s="91"/>
      <c r="U538" s="101"/>
      <c r="V538" s="61"/>
      <c r="W538" s="61"/>
    </row>
    <row r="539" spans="3:23" x14ac:dyDescent="0.25">
      <c r="C539" s="127"/>
      <c r="D539" s="128"/>
      <c r="E539" s="128"/>
      <c r="F539" s="128"/>
      <c r="G539" s="128"/>
      <c r="H539" s="124"/>
      <c r="I539" s="124"/>
      <c r="K539" s="86"/>
      <c r="L539" s="87"/>
      <c r="O539" s="92"/>
      <c r="Q539" s="93"/>
      <c r="S539" s="100"/>
      <c r="T539" s="91"/>
      <c r="U539" s="101"/>
      <c r="V539" s="61"/>
      <c r="W539" s="61"/>
    </row>
    <row r="540" spans="3:23" x14ac:dyDescent="0.25">
      <c r="C540" s="125"/>
      <c r="D540" s="126"/>
      <c r="E540" s="126"/>
      <c r="F540" s="126"/>
      <c r="G540" s="126"/>
      <c r="H540" s="124"/>
      <c r="I540" s="124"/>
      <c r="K540" s="86"/>
      <c r="L540" s="87"/>
      <c r="O540" s="92"/>
      <c r="Q540" s="93"/>
      <c r="S540" s="100"/>
      <c r="T540" s="91"/>
      <c r="U540" s="101"/>
      <c r="V540" s="61"/>
      <c r="W540" s="61"/>
    </row>
    <row r="541" spans="3:23" x14ac:dyDescent="0.25">
      <c r="C541" s="127"/>
      <c r="D541" s="128"/>
      <c r="E541" s="128"/>
      <c r="F541" s="128"/>
      <c r="G541" s="128"/>
      <c r="H541" s="124"/>
      <c r="I541" s="124"/>
      <c r="K541" s="86"/>
      <c r="L541" s="87"/>
      <c r="O541" s="92"/>
      <c r="Q541" s="93"/>
      <c r="S541" s="100"/>
      <c r="T541" s="91"/>
      <c r="U541" s="101"/>
      <c r="V541" s="61"/>
      <c r="W541" s="61"/>
    </row>
    <row r="542" spans="3:23" x14ac:dyDescent="0.25">
      <c r="C542" s="125"/>
      <c r="D542" s="126"/>
      <c r="E542" s="126"/>
      <c r="F542" s="126"/>
      <c r="G542" s="126"/>
      <c r="H542" s="124"/>
      <c r="I542" s="124"/>
      <c r="K542" s="86"/>
      <c r="L542" s="87"/>
      <c r="O542" s="92"/>
      <c r="Q542" s="93"/>
      <c r="S542" s="100"/>
      <c r="T542" s="91"/>
      <c r="U542" s="101"/>
      <c r="V542" s="61"/>
      <c r="W542" s="61"/>
    </row>
    <row r="543" spans="3:23" x14ac:dyDescent="0.25">
      <c r="C543" s="127"/>
      <c r="D543" s="128"/>
      <c r="E543" s="128"/>
      <c r="F543" s="128"/>
      <c r="G543" s="128"/>
      <c r="H543" s="124"/>
      <c r="I543" s="124"/>
      <c r="K543" s="86"/>
      <c r="L543" s="87"/>
      <c r="O543" s="92"/>
      <c r="Q543" s="93"/>
      <c r="S543" s="100"/>
      <c r="T543" s="91"/>
      <c r="U543" s="101"/>
      <c r="V543" s="61"/>
      <c r="W543" s="61"/>
    </row>
    <row r="544" spans="3:23" x14ac:dyDescent="0.25">
      <c r="C544" s="125"/>
      <c r="D544" s="126"/>
      <c r="E544" s="126"/>
      <c r="F544" s="126"/>
      <c r="G544" s="126"/>
      <c r="H544" s="124"/>
      <c r="I544" s="124"/>
      <c r="K544" s="86"/>
      <c r="L544" s="87"/>
      <c r="O544" s="92"/>
      <c r="Q544" s="93"/>
      <c r="S544" s="100"/>
      <c r="T544" s="91"/>
      <c r="U544" s="101"/>
      <c r="V544" s="61"/>
      <c r="W544" s="61"/>
    </row>
    <row r="545" spans="3:23" x14ac:dyDescent="0.25">
      <c r="C545" s="127"/>
      <c r="D545" s="128"/>
      <c r="E545" s="128"/>
      <c r="F545" s="128"/>
      <c r="G545" s="128"/>
      <c r="H545" s="124"/>
      <c r="I545" s="124"/>
      <c r="K545" s="86"/>
      <c r="L545" s="87"/>
      <c r="O545" s="92"/>
      <c r="Q545" s="93"/>
      <c r="S545" s="100"/>
      <c r="T545" s="91"/>
      <c r="U545" s="101"/>
      <c r="V545" s="61"/>
      <c r="W545" s="61"/>
    </row>
    <row r="546" spans="3:23" x14ac:dyDescent="0.25">
      <c r="C546" s="125"/>
      <c r="D546" s="126"/>
      <c r="E546" s="126"/>
      <c r="F546" s="126"/>
      <c r="G546" s="126"/>
      <c r="H546" s="124"/>
      <c r="I546" s="124"/>
      <c r="K546" s="86"/>
      <c r="L546" s="87"/>
      <c r="O546" s="92"/>
      <c r="Q546" s="93"/>
      <c r="S546" s="100"/>
      <c r="T546" s="91"/>
      <c r="U546" s="101"/>
      <c r="V546" s="61"/>
      <c r="W546" s="61"/>
    </row>
    <row r="547" spans="3:23" x14ac:dyDescent="0.25">
      <c r="C547" s="127"/>
      <c r="D547" s="128"/>
      <c r="E547" s="128"/>
      <c r="F547" s="128"/>
      <c r="G547" s="128"/>
      <c r="H547" s="124"/>
      <c r="I547" s="124"/>
      <c r="K547" s="86"/>
      <c r="L547" s="87"/>
      <c r="O547" s="92"/>
      <c r="Q547" s="93"/>
      <c r="S547" s="100"/>
      <c r="T547" s="91"/>
      <c r="U547" s="101"/>
      <c r="V547" s="61"/>
      <c r="W547" s="61"/>
    </row>
    <row r="548" spans="3:23" x14ac:dyDescent="0.25">
      <c r="C548" s="125"/>
      <c r="D548" s="126"/>
      <c r="E548" s="126"/>
      <c r="F548" s="126"/>
      <c r="G548" s="126"/>
      <c r="H548" s="124"/>
      <c r="I548" s="124"/>
      <c r="K548" s="86"/>
      <c r="L548" s="87"/>
      <c r="O548" s="92"/>
      <c r="Q548" s="93"/>
      <c r="S548" s="100"/>
      <c r="T548" s="91"/>
      <c r="U548" s="101"/>
      <c r="V548" s="61"/>
      <c r="W548" s="61"/>
    </row>
    <row r="549" spans="3:23" x14ac:dyDescent="0.25">
      <c r="C549" s="127"/>
      <c r="D549" s="128"/>
      <c r="E549" s="128"/>
      <c r="F549" s="128"/>
      <c r="G549" s="128"/>
      <c r="H549" s="124"/>
      <c r="I549" s="124"/>
      <c r="K549" s="86"/>
      <c r="L549" s="87"/>
      <c r="O549" s="92"/>
      <c r="Q549" s="93"/>
      <c r="S549" s="100"/>
      <c r="T549" s="91"/>
      <c r="U549" s="101"/>
      <c r="V549" s="61"/>
      <c r="W549" s="61"/>
    </row>
    <row r="550" spans="3:23" x14ac:dyDescent="0.25">
      <c r="C550" s="125"/>
      <c r="D550" s="126"/>
      <c r="E550" s="126"/>
      <c r="F550" s="126"/>
      <c r="G550" s="126"/>
      <c r="H550" s="124"/>
      <c r="I550" s="124"/>
      <c r="K550" s="86"/>
      <c r="L550" s="87"/>
      <c r="O550" s="92"/>
      <c r="Q550" s="93"/>
      <c r="S550" s="100"/>
      <c r="T550" s="91"/>
      <c r="U550" s="101"/>
      <c r="V550" s="61"/>
      <c r="W550" s="61"/>
    </row>
    <row r="551" spans="3:23" x14ac:dyDescent="0.25">
      <c r="C551" s="127"/>
      <c r="D551" s="128"/>
      <c r="E551" s="128"/>
      <c r="F551" s="128"/>
      <c r="G551" s="128"/>
      <c r="H551" s="124"/>
      <c r="I551" s="124"/>
      <c r="K551" s="86"/>
      <c r="L551" s="87"/>
      <c r="O551" s="92"/>
      <c r="Q551" s="93"/>
      <c r="S551" s="100"/>
      <c r="T551" s="91"/>
      <c r="U551" s="101"/>
      <c r="V551" s="61"/>
      <c r="W551" s="61"/>
    </row>
    <row r="552" spans="3:23" x14ac:dyDescent="0.25">
      <c r="C552" s="125"/>
      <c r="D552" s="126"/>
      <c r="E552" s="126"/>
      <c r="F552" s="126"/>
      <c r="G552" s="126"/>
      <c r="H552" s="124"/>
      <c r="I552" s="124"/>
      <c r="K552" s="86"/>
      <c r="L552" s="87"/>
      <c r="O552" s="92"/>
      <c r="Q552" s="93"/>
      <c r="S552" s="100"/>
      <c r="T552" s="91"/>
      <c r="U552" s="101"/>
      <c r="V552" s="61"/>
      <c r="W552" s="61"/>
    </row>
    <row r="553" spans="3:23" x14ac:dyDescent="0.25">
      <c r="C553" s="127"/>
      <c r="D553" s="128"/>
      <c r="E553" s="128"/>
      <c r="F553" s="128"/>
      <c r="G553" s="128"/>
      <c r="H553" s="124"/>
      <c r="I553" s="124"/>
      <c r="K553" s="86"/>
      <c r="L553" s="87"/>
      <c r="O553" s="92"/>
      <c r="Q553" s="93"/>
      <c r="S553" s="100"/>
      <c r="T553" s="91"/>
      <c r="U553" s="101"/>
      <c r="V553" s="61"/>
      <c r="W553" s="61"/>
    </row>
    <row r="554" spans="3:23" x14ac:dyDescent="0.25">
      <c r="C554" s="125"/>
      <c r="D554" s="126"/>
      <c r="E554" s="126"/>
      <c r="F554" s="126"/>
      <c r="G554" s="126"/>
      <c r="H554" s="124"/>
      <c r="I554" s="124"/>
      <c r="K554" s="86"/>
      <c r="L554" s="87"/>
      <c r="O554" s="92"/>
      <c r="Q554" s="93"/>
      <c r="S554" s="100"/>
      <c r="T554" s="91"/>
      <c r="U554" s="101"/>
      <c r="V554" s="61"/>
      <c r="W554" s="61"/>
    </row>
    <row r="555" spans="3:23" x14ac:dyDescent="0.25">
      <c r="C555" s="127"/>
      <c r="D555" s="128"/>
      <c r="E555" s="128"/>
      <c r="F555" s="128"/>
      <c r="G555" s="128"/>
      <c r="H555" s="124"/>
      <c r="I555" s="124"/>
      <c r="K555" s="86"/>
      <c r="L555" s="87"/>
      <c r="O555" s="92"/>
      <c r="Q555" s="93"/>
      <c r="S555" s="100"/>
      <c r="T555" s="91"/>
      <c r="U555" s="101"/>
      <c r="V555" s="61"/>
      <c r="W555" s="61"/>
    </row>
    <row r="556" spans="3:23" x14ac:dyDescent="0.25">
      <c r="C556" s="125"/>
      <c r="D556" s="126"/>
      <c r="E556" s="126"/>
      <c r="F556" s="126"/>
      <c r="G556" s="126"/>
      <c r="H556" s="124"/>
      <c r="I556" s="124"/>
      <c r="K556" s="86"/>
      <c r="L556" s="87"/>
      <c r="O556" s="92"/>
      <c r="Q556" s="93"/>
      <c r="S556" s="100"/>
      <c r="T556" s="91"/>
      <c r="U556" s="101"/>
      <c r="V556" s="61"/>
      <c r="W556" s="61"/>
    </row>
    <row r="557" spans="3:23" x14ac:dyDescent="0.25">
      <c r="C557" s="127"/>
      <c r="D557" s="128"/>
      <c r="E557" s="128"/>
      <c r="F557" s="128"/>
      <c r="G557" s="128"/>
      <c r="H557" s="124"/>
      <c r="I557" s="124"/>
      <c r="K557" s="86"/>
      <c r="L557" s="87"/>
      <c r="O557" s="92"/>
      <c r="Q557" s="93"/>
      <c r="S557" s="100"/>
      <c r="T557" s="91"/>
      <c r="U557" s="101"/>
      <c r="V557" s="61"/>
      <c r="W557" s="61"/>
    </row>
    <row r="558" spans="3:23" x14ac:dyDescent="0.25">
      <c r="C558" s="125"/>
      <c r="D558" s="126"/>
      <c r="E558" s="126"/>
      <c r="F558" s="126"/>
      <c r="G558" s="126"/>
      <c r="H558" s="124"/>
      <c r="I558" s="124"/>
      <c r="K558" s="86"/>
      <c r="L558" s="87"/>
      <c r="O558" s="92"/>
      <c r="Q558" s="93"/>
      <c r="S558" s="100"/>
      <c r="T558" s="91"/>
      <c r="U558" s="101"/>
      <c r="V558" s="61"/>
      <c r="W558" s="61"/>
    </row>
    <row r="559" spans="3:23" x14ac:dyDescent="0.25">
      <c r="C559" s="127"/>
      <c r="D559" s="128"/>
      <c r="E559" s="128"/>
      <c r="F559" s="128"/>
      <c r="G559" s="128"/>
      <c r="H559" s="124"/>
      <c r="I559" s="124"/>
      <c r="K559" s="86"/>
      <c r="L559" s="87"/>
      <c r="O559" s="92"/>
      <c r="Q559" s="93"/>
      <c r="S559" s="100"/>
      <c r="T559" s="91"/>
      <c r="U559" s="101"/>
      <c r="V559" s="61"/>
      <c r="W559" s="61"/>
    </row>
    <row r="560" spans="3:23" x14ac:dyDescent="0.25">
      <c r="C560" s="125"/>
      <c r="D560" s="126"/>
      <c r="E560" s="126"/>
      <c r="F560" s="126"/>
      <c r="G560" s="126"/>
      <c r="H560" s="124"/>
      <c r="I560" s="124"/>
      <c r="K560" s="86"/>
      <c r="L560" s="87"/>
      <c r="O560" s="92"/>
      <c r="Q560" s="93"/>
      <c r="S560" s="100"/>
      <c r="T560" s="91"/>
      <c r="U560" s="101"/>
      <c r="V560" s="61"/>
      <c r="W560" s="61"/>
    </row>
    <row r="561" spans="3:23" x14ac:dyDescent="0.25">
      <c r="C561" s="127"/>
      <c r="D561" s="128"/>
      <c r="E561" s="128"/>
      <c r="F561" s="128"/>
      <c r="G561" s="128"/>
      <c r="H561" s="124"/>
      <c r="I561" s="124"/>
      <c r="K561" s="86"/>
      <c r="L561" s="87"/>
      <c r="O561" s="92"/>
      <c r="Q561" s="93"/>
      <c r="S561" s="100"/>
      <c r="T561" s="91"/>
      <c r="U561" s="101"/>
      <c r="V561" s="61"/>
      <c r="W561" s="61"/>
    </row>
    <row r="562" spans="3:23" x14ac:dyDescent="0.25">
      <c r="C562" s="125"/>
      <c r="D562" s="126"/>
      <c r="E562" s="126"/>
      <c r="F562" s="126"/>
      <c r="G562" s="126"/>
      <c r="H562" s="124"/>
      <c r="I562" s="124"/>
      <c r="K562" s="86"/>
      <c r="L562" s="87"/>
      <c r="O562" s="92"/>
      <c r="Q562" s="93"/>
      <c r="S562" s="100"/>
      <c r="T562" s="91"/>
      <c r="U562" s="101"/>
      <c r="V562" s="61"/>
      <c r="W562" s="61"/>
    </row>
    <row r="563" spans="3:23" x14ac:dyDescent="0.25">
      <c r="C563" s="127"/>
      <c r="D563" s="128"/>
      <c r="E563" s="128"/>
      <c r="F563" s="128"/>
      <c r="G563" s="128"/>
      <c r="H563" s="124"/>
      <c r="I563" s="124"/>
      <c r="K563" s="86"/>
      <c r="L563" s="87"/>
      <c r="O563" s="92"/>
      <c r="Q563" s="93"/>
      <c r="S563" s="100"/>
      <c r="T563" s="91"/>
      <c r="U563" s="101"/>
      <c r="V563" s="61"/>
      <c r="W563" s="61"/>
    </row>
    <row r="564" spans="3:23" x14ac:dyDescent="0.25">
      <c r="C564" s="125"/>
      <c r="D564" s="126"/>
      <c r="E564" s="126"/>
      <c r="F564" s="126"/>
      <c r="G564" s="126"/>
      <c r="H564" s="124"/>
      <c r="I564" s="124"/>
      <c r="K564" s="86"/>
      <c r="L564" s="87"/>
      <c r="O564" s="92"/>
      <c r="Q564" s="93"/>
      <c r="S564" s="100"/>
      <c r="T564" s="91"/>
      <c r="U564" s="101"/>
      <c r="V564" s="61"/>
      <c r="W564" s="61"/>
    </row>
    <row r="565" spans="3:23" x14ac:dyDescent="0.25">
      <c r="C565" s="127"/>
      <c r="D565" s="128"/>
      <c r="E565" s="128"/>
      <c r="F565" s="128"/>
      <c r="G565" s="128"/>
      <c r="H565" s="124"/>
      <c r="I565" s="124"/>
      <c r="K565" s="86"/>
      <c r="L565" s="87"/>
      <c r="O565" s="92"/>
      <c r="Q565" s="93"/>
      <c r="S565" s="100"/>
      <c r="T565" s="91"/>
      <c r="U565" s="101"/>
      <c r="V565" s="61"/>
      <c r="W565" s="61"/>
    </row>
    <row r="566" spans="3:23" x14ac:dyDescent="0.25">
      <c r="C566" s="125"/>
      <c r="D566" s="126"/>
      <c r="E566" s="126"/>
      <c r="F566" s="126"/>
      <c r="G566" s="126"/>
      <c r="H566" s="124"/>
      <c r="I566" s="124"/>
      <c r="K566" s="86"/>
      <c r="L566" s="87"/>
      <c r="O566" s="92"/>
      <c r="Q566" s="93"/>
      <c r="S566" s="100"/>
      <c r="T566" s="91"/>
      <c r="U566" s="101"/>
      <c r="V566" s="61"/>
      <c r="W566" s="61"/>
    </row>
    <row r="567" spans="3:23" x14ac:dyDescent="0.25">
      <c r="C567" s="127"/>
      <c r="D567" s="128"/>
      <c r="E567" s="128"/>
      <c r="F567" s="128"/>
      <c r="G567" s="128"/>
      <c r="H567" s="124"/>
      <c r="I567" s="124"/>
      <c r="K567" s="86"/>
      <c r="L567" s="87"/>
      <c r="O567" s="92"/>
      <c r="Q567" s="93"/>
      <c r="S567" s="100"/>
      <c r="T567" s="91"/>
      <c r="U567" s="101"/>
      <c r="V567" s="61"/>
      <c r="W567" s="61"/>
    </row>
    <row r="568" spans="3:23" x14ac:dyDescent="0.25">
      <c r="C568" s="125"/>
      <c r="D568" s="126"/>
      <c r="E568" s="126"/>
      <c r="F568" s="126"/>
      <c r="G568" s="126"/>
      <c r="H568" s="124"/>
      <c r="I568" s="124"/>
      <c r="K568" s="86"/>
      <c r="L568" s="87"/>
      <c r="O568" s="92"/>
      <c r="Q568" s="93"/>
      <c r="S568" s="100"/>
      <c r="T568" s="91"/>
      <c r="U568" s="101"/>
      <c r="V568" s="61"/>
      <c r="W568" s="61"/>
    </row>
    <row r="569" spans="3:23" x14ac:dyDescent="0.25">
      <c r="C569" s="127"/>
      <c r="D569" s="128"/>
      <c r="E569" s="128"/>
      <c r="F569" s="128"/>
      <c r="G569" s="128"/>
      <c r="H569" s="124"/>
      <c r="I569" s="124"/>
      <c r="K569" s="86"/>
      <c r="L569" s="87"/>
      <c r="O569" s="92"/>
      <c r="Q569" s="93"/>
      <c r="S569" s="100"/>
      <c r="T569" s="91"/>
      <c r="U569" s="101"/>
      <c r="V569" s="61"/>
      <c r="W569" s="61"/>
    </row>
    <row r="570" spans="3:23" x14ac:dyDescent="0.25">
      <c r="C570" s="125"/>
      <c r="D570" s="126"/>
      <c r="E570" s="126"/>
      <c r="F570" s="126"/>
      <c r="G570" s="126"/>
      <c r="H570" s="124"/>
      <c r="I570" s="124"/>
      <c r="K570" s="86"/>
      <c r="L570" s="87"/>
      <c r="O570" s="92"/>
      <c r="Q570" s="93"/>
      <c r="S570" s="100"/>
      <c r="T570" s="91"/>
      <c r="U570" s="101"/>
      <c r="V570" s="61"/>
      <c r="W570" s="61"/>
    </row>
    <row r="571" spans="3:23" x14ac:dyDescent="0.25">
      <c r="C571" s="127"/>
      <c r="D571" s="128"/>
      <c r="E571" s="128"/>
      <c r="F571" s="128"/>
      <c r="G571" s="128"/>
      <c r="H571" s="124"/>
      <c r="I571" s="124"/>
      <c r="K571" s="86"/>
      <c r="L571" s="87"/>
      <c r="O571" s="92"/>
      <c r="Q571" s="93"/>
      <c r="S571" s="100"/>
      <c r="T571" s="91"/>
      <c r="U571" s="101"/>
      <c r="V571" s="61"/>
      <c r="W571" s="61"/>
    </row>
    <row r="572" spans="3:23" x14ac:dyDescent="0.25">
      <c r="C572" s="125"/>
      <c r="D572" s="126"/>
      <c r="E572" s="126"/>
      <c r="F572" s="126"/>
      <c r="G572" s="126"/>
      <c r="H572" s="124"/>
      <c r="I572" s="124"/>
      <c r="K572" s="86"/>
      <c r="L572" s="87"/>
      <c r="O572" s="92"/>
      <c r="Q572" s="93"/>
      <c r="S572" s="100"/>
      <c r="T572" s="91"/>
      <c r="U572" s="101"/>
      <c r="V572" s="61"/>
      <c r="W572" s="61"/>
    </row>
    <row r="573" spans="3:23" x14ac:dyDescent="0.25">
      <c r="C573" s="127"/>
      <c r="D573" s="128"/>
      <c r="E573" s="128"/>
      <c r="F573" s="128"/>
      <c r="G573" s="128"/>
      <c r="H573" s="124"/>
      <c r="I573" s="124"/>
      <c r="K573" s="86"/>
      <c r="L573" s="87"/>
      <c r="O573" s="92"/>
      <c r="Q573" s="93"/>
      <c r="S573" s="100"/>
      <c r="T573" s="91"/>
      <c r="U573" s="101"/>
      <c r="V573" s="61"/>
      <c r="W573" s="61"/>
    </row>
    <row r="574" spans="3:23" x14ac:dyDescent="0.25">
      <c r="C574" s="125"/>
      <c r="D574" s="126"/>
      <c r="E574" s="126"/>
      <c r="F574" s="126"/>
      <c r="G574" s="126"/>
      <c r="H574" s="124"/>
      <c r="I574" s="124"/>
      <c r="K574" s="86"/>
      <c r="L574" s="87"/>
      <c r="O574" s="92"/>
      <c r="Q574" s="93"/>
      <c r="S574" s="100"/>
      <c r="T574" s="91"/>
      <c r="U574" s="101"/>
      <c r="V574" s="61"/>
      <c r="W574" s="61"/>
    </row>
    <row r="575" spans="3:23" x14ac:dyDescent="0.25">
      <c r="C575" s="127"/>
      <c r="D575" s="128"/>
      <c r="E575" s="128"/>
      <c r="F575" s="128"/>
      <c r="G575" s="128"/>
      <c r="H575" s="124"/>
      <c r="I575" s="124"/>
      <c r="K575" s="86"/>
      <c r="L575" s="87"/>
      <c r="O575" s="92"/>
      <c r="Q575" s="93"/>
      <c r="S575" s="100"/>
      <c r="T575" s="91"/>
      <c r="U575" s="101"/>
      <c r="V575" s="61"/>
      <c r="W575" s="61"/>
    </row>
    <row r="576" spans="3:23" x14ac:dyDescent="0.25">
      <c r="C576" s="125"/>
      <c r="D576" s="126"/>
      <c r="E576" s="126"/>
      <c r="F576" s="126"/>
      <c r="G576" s="126"/>
      <c r="H576" s="124"/>
      <c r="I576" s="124"/>
      <c r="K576" s="86"/>
      <c r="L576" s="87"/>
      <c r="O576" s="92"/>
      <c r="Q576" s="93"/>
      <c r="S576" s="100"/>
      <c r="T576" s="91"/>
      <c r="U576" s="101"/>
      <c r="V576" s="61"/>
      <c r="W576" s="61"/>
    </row>
    <row r="577" spans="3:23" x14ac:dyDescent="0.25">
      <c r="C577" s="127"/>
      <c r="D577" s="128"/>
      <c r="E577" s="128"/>
      <c r="F577" s="128"/>
      <c r="G577" s="128"/>
      <c r="H577" s="124"/>
      <c r="I577" s="124"/>
      <c r="K577" s="86"/>
      <c r="L577" s="87"/>
      <c r="O577" s="92"/>
      <c r="Q577" s="93"/>
      <c r="S577" s="100"/>
      <c r="T577" s="91"/>
      <c r="U577" s="101"/>
      <c r="V577" s="61"/>
      <c r="W577" s="61"/>
    </row>
    <row r="578" spans="3:23" x14ac:dyDescent="0.25">
      <c r="C578" s="125"/>
      <c r="D578" s="126"/>
      <c r="E578" s="126"/>
      <c r="F578" s="126"/>
      <c r="G578" s="126"/>
      <c r="H578" s="124"/>
      <c r="I578" s="124"/>
      <c r="K578" s="86"/>
      <c r="L578" s="87"/>
      <c r="O578" s="92"/>
      <c r="Q578" s="93"/>
      <c r="S578" s="100"/>
      <c r="T578" s="91"/>
      <c r="U578" s="101"/>
      <c r="V578" s="61"/>
      <c r="W578" s="61"/>
    </row>
    <row r="579" spans="3:23" x14ac:dyDescent="0.25">
      <c r="C579" s="127"/>
      <c r="D579" s="128"/>
      <c r="E579" s="128"/>
      <c r="F579" s="128"/>
      <c r="G579" s="128"/>
      <c r="H579" s="124"/>
      <c r="I579" s="124"/>
      <c r="K579" s="86"/>
      <c r="L579" s="87"/>
      <c r="O579" s="92"/>
      <c r="Q579" s="93"/>
      <c r="S579" s="100"/>
      <c r="T579" s="91"/>
      <c r="U579" s="101"/>
      <c r="V579" s="61"/>
      <c r="W579" s="61"/>
    </row>
    <row r="580" spans="3:23" x14ac:dyDescent="0.25">
      <c r="C580" s="125"/>
      <c r="D580" s="126"/>
      <c r="E580" s="126"/>
      <c r="F580" s="126"/>
      <c r="G580" s="126"/>
      <c r="H580" s="124"/>
      <c r="I580" s="124"/>
      <c r="K580" s="86"/>
      <c r="L580" s="87"/>
      <c r="O580" s="92"/>
      <c r="Q580" s="93"/>
      <c r="S580" s="100"/>
      <c r="T580" s="91"/>
      <c r="U580" s="101"/>
      <c r="V580" s="61"/>
      <c r="W580" s="61"/>
    </row>
    <row r="581" spans="3:23" x14ac:dyDescent="0.25">
      <c r="C581" s="127"/>
      <c r="D581" s="128"/>
      <c r="E581" s="128"/>
      <c r="F581" s="128"/>
      <c r="G581" s="128"/>
      <c r="H581" s="124"/>
      <c r="I581" s="124"/>
      <c r="K581" s="86"/>
      <c r="L581" s="87"/>
      <c r="O581" s="92"/>
      <c r="Q581" s="93"/>
      <c r="S581" s="100"/>
      <c r="T581" s="91"/>
      <c r="U581" s="101"/>
      <c r="V581" s="61"/>
      <c r="W581" s="61"/>
    </row>
    <row r="582" spans="3:23" x14ac:dyDescent="0.25">
      <c r="C582" s="125"/>
      <c r="D582" s="126"/>
      <c r="E582" s="126"/>
      <c r="F582" s="126"/>
      <c r="G582" s="126"/>
      <c r="H582" s="124"/>
      <c r="I582" s="124"/>
      <c r="K582" s="86"/>
      <c r="L582" s="87"/>
      <c r="O582" s="92"/>
      <c r="Q582" s="93"/>
      <c r="S582" s="100"/>
      <c r="T582" s="91"/>
      <c r="U582" s="101"/>
      <c r="V582" s="61"/>
      <c r="W582" s="61"/>
    </row>
    <row r="583" spans="3:23" x14ac:dyDescent="0.25">
      <c r="C583" s="127"/>
      <c r="D583" s="128"/>
      <c r="E583" s="128"/>
      <c r="F583" s="128"/>
      <c r="G583" s="128"/>
      <c r="H583" s="124"/>
      <c r="I583" s="124"/>
      <c r="K583" s="86"/>
      <c r="L583" s="87"/>
      <c r="O583" s="92"/>
      <c r="Q583" s="93"/>
      <c r="S583" s="100"/>
      <c r="T583" s="91"/>
      <c r="U583" s="101"/>
      <c r="V583" s="61"/>
      <c r="W583" s="61"/>
    </row>
    <row r="584" spans="3:23" x14ac:dyDescent="0.25">
      <c r="C584" s="125"/>
      <c r="D584" s="126"/>
      <c r="E584" s="126"/>
      <c r="F584" s="126"/>
      <c r="G584" s="126"/>
      <c r="H584" s="124"/>
      <c r="I584" s="124"/>
      <c r="K584" s="86"/>
      <c r="L584" s="87"/>
      <c r="O584" s="92"/>
      <c r="Q584" s="93"/>
      <c r="S584" s="100"/>
      <c r="T584" s="91"/>
      <c r="U584" s="101"/>
      <c r="V584" s="61"/>
      <c r="W584" s="61"/>
    </row>
    <row r="585" spans="3:23" x14ac:dyDescent="0.25">
      <c r="C585" s="127"/>
      <c r="D585" s="128"/>
      <c r="E585" s="128"/>
      <c r="F585" s="128"/>
      <c r="G585" s="128"/>
      <c r="H585" s="124"/>
      <c r="I585" s="124"/>
      <c r="K585" s="86"/>
      <c r="L585" s="87"/>
      <c r="O585" s="92"/>
      <c r="Q585" s="93"/>
      <c r="S585" s="100"/>
      <c r="T585" s="91"/>
      <c r="U585" s="101"/>
      <c r="V585" s="61"/>
      <c r="W585" s="61"/>
    </row>
    <row r="586" spans="3:23" x14ac:dyDescent="0.25">
      <c r="C586" s="125"/>
      <c r="D586" s="126"/>
      <c r="E586" s="126"/>
      <c r="F586" s="126"/>
      <c r="G586" s="126"/>
      <c r="H586" s="124"/>
      <c r="I586" s="124"/>
      <c r="K586" s="86"/>
      <c r="L586" s="87"/>
      <c r="O586" s="92"/>
      <c r="Q586" s="93"/>
      <c r="S586" s="100"/>
      <c r="T586" s="91"/>
      <c r="U586" s="101"/>
      <c r="V586" s="61"/>
      <c r="W586" s="61"/>
    </row>
    <row r="587" spans="3:23" x14ac:dyDescent="0.25">
      <c r="C587" s="127"/>
      <c r="D587" s="128"/>
      <c r="E587" s="128"/>
      <c r="F587" s="128"/>
      <c r="G587" s="128"/>
      <c r="H587" s="124"/>
      <c r="I587" s="124"/>
      <c r="K587" s="86"/>
      <c r="L587" s="87"/>
      <c r="O587" s="92"/>
      <c r="Q587" s="93"/>
      <c r="S587" s="100"/>
      <c r="T587" s="91"/>
      <c r="U587" s="101"/>
      <c r="V587" s="61"/>
      <c r="W587" s="61"/>
    </row>
    <row r="588" spans="3:23" x14ac:dyDescent="0.25">
      <c r="C588" s="125"/>
      <c r="D588" s="126"/>
      <c r="E588" s="126"/>
      <c r="F588" s="126"/>
      <c r="G588" s="126"/>
      <c r="H588" s="124"/>
      <c r="I588" s="124"/>
      <c r="K588" s="86"/>
      <c r="L588" s="87"/>
      <c r="O588" s="92"/>
      <c r="Q588" s="93"/>
      <c r="S588" s="100"/>
      <c r="T588" s="91"/>
      <c r="U588" s="101"/>
      <c r="V588" s="61"/>
      <c r="W588" s="61"/>
    </row>
    <row r="589" spans="3:23" x14ac:dyDescent="0.25">
      <c r="C589" s="127"/>
      <c r="D589" s="128"/>
      <c r="E589" s="128"/>
      <c r="F589" s="128"/>
      <c r="G589" s="128"/>
      <c r="H589" s="124"/>
      <c r="I589" s="124"/>
      <c r="K589" s="86"/>
      <c r="L589" s="87"/>
      <c r="O589" s="92"/>
      <c r="Q589" s="93"/>
      <c r="S589" s="100"/>
      <c r="T589" s="91"/>
      <c r="U589" s="101"/>
      <c r="V589" s="61"/>
      <c r="W589" s="61"/>
    </row>
    <row r="590" spans="3:23" x14ac:dyDescent="0.25">
      <c r="C590" s="125"/>
      <c r="D590" s="126"/>
      <c r="E590" s="126"/>
      <c r="F590" s="126"/>
      <c r="G590" s="126"/>
      <c r="H590" s="124"/>
      <c r="I590" s="124"/>
      <c r="K590" s="86"/>
      <c r="L590" s="87"/>
      <c r="O590" s="92"/>
      <c r="Q590" s="93"/>
      <c r="S590" s="100"/>
      <c r="T590" s="91"/>
      <c r="U590" s="101"/>
      <c r="V590" s="61"/>
      <c r="W590" s="61"/>
    </row>
    <row r="591" spans="3:23" x14ac:dyDescent="0.25">
      <c r="C591" s="127"/>
      <c r="D591" s="128"/>
      <c r="E591" s="128"/>
      <c r="F591" s="128"/>
      <c r="G591" s="128"/>
      <c r="H591" s="124"/>
      <c r="I591" s="124"/>
      <c r="K591" s="86"/>
      <c r="L591" s="87"/>
      <c r="O591" s="92"/>
      <c r="Q591" s="93"/>
      <c r="S591" s="100"/>
      <c r="T591" s="91"/>
      <c r="U591" s="101"/>
      <c r="V591" s="61"/>
      <c r="W591" s="61"/>
    </row>
    <row r="592" spans="3:23" x14ac:dyDescent="0.25">
      <c r="C592" s="125"/>
      <c r="D592" s="126"/>
      <c r="E592" s="126"/>
      <c r="F592" s="126"/>
      <c r="G592" s="126"/>
      <c r="H592" s="124"/>
      <c r="I592" s="124"/>
      <c r="K592" s="86"/>
      <c r="L592" s="87"/>
      <c r="O592" s="92"/>
      <c r="Q592" s="93"/>
      <c r="S592" s="100"/>
      <c r="T592" s="91"/>
      <c r="U592" s="101"/>
      <c r="V592" s="61"/>
      <c r="W592" s="61"/>
    </row>
    <row r="593" spans="3:23" x14ac:dyDescent="0.25">
      <c r="C593" s="127"/>
      <c r="D593" s="128"/>
      <c r="E593" s="128"/>
      <c r="F593" s="128"/>
      <c r="G593" s="128"/>
      <c r="H593" s="124"/>
      <c r="I593" s="124"/>
      <c r="K593" s="86"/>
      <c r="L593" s="87"/>
      <c r="O593" s="92"/>
      <c r="Q593" s="93"/>
      <c r="S593" s="100"/>
      <c r="T593" s="91"/>
      <c r="U593" s="101"/>
      <c r="V593" s="61"/>
      <c r="W593" s="61"/>
    </row>
    <row r="594" spans="3:23" x14ac:dyDescent="0.25">
      <c r="C594" s="125"/>
      <c r="D594" s="126"/>
      <c r="E594" s="126"/>
      <c r="F594" s="126"/>
      <c r="G594" s="126"/>
      <c r="H594" s="124"/>
      <c r="I594" s="124"/>
      <c r="K594" s="86"/>
      <c r="L594" s="87"/>
      <c r="O594" s="92"/>
      <c r="Q594" s="93"/>
      <c r="S594" s="100"/>
      <c r="T594" s="91"/>
      <c r="U594" s="101"/>
      <c r="V594" s="61"/>
      <c r="W594" s="61"/>
    </row>
    <row r="595" spans="3:23" x14ac:dyDescent="0.25">
      <c r="C595" s="127"/>
      <c r="D595" s="128"/>
      <c r="E595" s="128"/>
      <c r="F595" s="128"/>
      <c r="G595" s="128"/>
      <c r="H595" s="124"/>
      <c r="I595" s="124"/>
      <c r="K595" s="86"/>
      <c r="L595" s="87"/>
      <c r="O595" s="92"/>
      <c r="Q595" s="93"/>
      <c r="S595" s="100"/>
      <c r="T595" s="91"/>
      <c r="U595" s="101"/>
      <c r="V595" s="61"/>
      <c r="W595" s="61"/>
    </row>
    <row r="596" spans="3:23" x14ac:dyDescent="0.25">
      <c r="C596" s="125"/>
      <c r="D596" s="126"/>
      <c r="E596" s="126"/>
      <c r="F596" s="126"/>
      <c r="G596" s="126"/>
      <c r="H596" s="124"/>
      <c r="I596" s="124"/>
      <c r="K596" s="86"/>
      <c r="L596" s="87"/>
      <c r="O596" s="92"/>
      <c r="Q596" s="93"/>
      <c r="S596" s="100"/>
      <c r="T596" s="91"/>
      <c r="U596" s="101"/>
      <c r="V596" s="61"/>
      <c r="W596" s="61"/>
    </row>
    <row r="597" spans="3:23" x14ac:dyDescent="0.25">
      <c r="C597" s="127"/>
      <c r="D597" s="128"/>
      <c r="E597" s="128"/>
      <c r="F597" s="128"/>
      <c r="G597" s="128"/>
      <c r="H597" s="124"/>
      <c r="I597" s="124"/>
      <c r="K597" s="86"/>
      <c r="L597" s="87"/>
      <c r="O597" s="92"/>
      <c r="Q597" s="93"/>
      <c r="S597" s="100"/>
      <c r="T597" s="91"/>
      <c r="U597" s="101"/>
      <c r="V597" s="61"/>
      <c r="W597" s="61"/>
    </row>
    <row r="598" spans="3:23" x14ac:dyDescent="0.25">
      <c r="C598" s="125"/>
      <c r="D598" s="126"/>
      <c r="E598" s="126"/>
      <c r="F598" s="126"/>
      <c r="G598" s="126"/>
      <c r="H598" s="124"/>
      <c r="I598" s="124"/>
      <c r="K598" s="86"/>
      <c r="L598" s="87"/>
      <c r="O598" s="92"/>
      <c r="Q598" s="93"/>
      <c r="S598" s="100"/>
      <c r="T598" s="91"/>
      <c r="U598" s="101"/>
      <c r="V598" s="61"/>
      <c r="W598" s="61"/>
    </row>
    <row r="599" spans="3:23" x14ac:dyDescent="0.25">
      <c r="C599" s="127"/>
      <c r="D599" s="128"/>
      <c r="E599" s="128"/>
      <c r="F599" s="128"/>
      <c r="G599" s="128"/>
      <c r="H599" s="124"/>
      <c r="I599" s="124"/>
      <c r="K599" s="86"/>
      <c r="L599" s="87"/>
      <c r="O599" s="92"/>
      <c r="Q599" s="93"/>
      <c r="S599" s="100"/>
      <c r="T599" s="91"/>
      <c r="U599" s="101"/>
      <c r="V599" s="61"/>
      <c r="W599" s="61"/>
    </row>
    <row r="600" spans="3:23" x14ac:dyDescent="0.25">
      <c r="C600" s="125"/>
      <c r="D600" s="126"/>
      <c r="E600" s="126"/>
      <c r="F600" s="126"/>
      <c r="G600" s="126"/>
      <c r="H600" s="124"/>
      <c r="I600" s="124"/>
      <c r="K600" s="86"/>
      <c r="L600" s="87"/>
      <c r="O600" s="92"/>
      <c r="Q600" s="93"/>
      <c r="S600" s="100"/>
      <c r="T600" s="91"/>
      <c r="U600" s="101"/>
      <c r="V600" s="61"/>
      <c r="W600" s="61"/>
    </row>
    <row r="601" spans="3:23" x14ac:dyDescent="0.25">
      <c r="C601" s="127"/>
      <c r="D601" s="128"/>
      <c r="E601" s="128"/>
      <c r="F601" s="128"/>
      <c r="G601" s="128"/>
      <c r="H601" s="124"/>
      <c r="I601" s="124"/>
      <c r="K601" s="86"/>
      <c r="L601" s="87"/>
      <c r="O601" s="92"/>
      <c r="Q601" s="93"/>
      <c r="S601" s="100"/>
      <c r="T601" s="91"/>
      <c r="U601" s="101"/>
      <c r="V601" s="61"/>
      <c r="W601" s="61"/>
    </row>
    <row r="602" spans="3:23" x14ac:dyDescent="0.25">
      <c r="C602" s="125"/>
      <c r="D602" s="126"/>
      <c r="E602" s="126"/>
      <c r="F602" s="126"/>
      <c r="G602" s="126"/>
      <c r="H602" s="124"/>
      <c r="I602" s="124"/>
      <c r="K602" s="86"/>
      <c r="L602" s="87"/>
      <c r="O602" s="92"/>
      <c r="Q602" s="93"/>
      <c r="S602" s="100"/>
      <c r="T602" s="91"/>
      <c r="U602" s="101"/>
      <c r="V602" s="61"/>
      <c r="W602" s="61"/>
    </row>
    <row r="603" spans="3:23" x14ac:dyDescent="0.25">
      <c r="C603" s="127"/>
      <c r="D603" s="128"/>
      <c r="E603" s="128"/>
      <c r="F603" s="128"/>
      <c r="G603" s="128"/>
      <c r="H603" s="124"/>
      <c r="I603" s="124"/>
      <c r="K603" s="86"/>
      <c r="L603" s="87"/>
      <c r="O603" s="92"/>
      <c r="Q603" s="93"/>
      <c r="S603" s="100"/>
      <c r="T603" s="91"/>
      <c r="U603" s="101"/>
      <c r="V603" s="61"/>
      <c r="W603" s="61"/>
    </row>
    <row r="604" spans="3:23" x14ac:dyDescent="0.25">
      <c r="C604" s="125"/>
      <c r="D604" s="126"/>
      <c r="E604" s="126"/>
      <c r="F604" s="126"/>
      <c r="G604" s="126"/>
      <c r="H604" s="124"/>
      <c r="I604" s="124"/>
      <c r="K604" s="86"/>
      <c r="L604" s="87"/>
      <c r="O604" s="92"/>
      <c r="Q604" s="93"/>
      <c r="S604" s="100"/>
      <c r="T604" s="91"/>
      <c r="U604" s="101"/>
      <c r="V604" s="61"/>
      <c r="W604" s="61"/>
    </row>
    <row r="605" spans="3:23" x14ac:dyDescent="0.25">
      <c r="C605" s="127"/>
      <c r="D605" s="128"/>
      <c r="E605" s="128"/>
      <c r="F605" s="128"/>
      <c r="G605" s="128"/>
      <c r="H605" s="124"/>
      <c r="I605" s="124"/>
      <c r="K605" s="86"/>
      <c r="L605" s="87"/>
      <c r="O605" s="92"/>
      <c r="Q605" s="93"/>
      <c r="S605" s="100"/>
      <c r="T605" s="91"/>
      <c r="U605" s="101"/>
      <c r="V605" s="61"/>
      <c r="W605" s="61"/>
    </row>
    <row r="606" spans="3:23" x14ac:dyDescent="0.25">
      <c r="C606" s="125"/>
      <c r="D606" s="126"/>
      <c r="E606" s="126"/>
      <c r="F606" s="126"/>
      <c r="G606" s="126"/>
      <c r="H606" s="124"/>
      <c r="I606" s="124"/>
      <c r="K606" s="86"/>
      <c r="L606" s="87"/>
      <c r="O606" s="92"/>
      <c r="Q606" s="93"/>
      <c r="S606" s="100"/>
      <c r="T606" s="91"/>
      <c r="U606" s="101"/>
      <c r="V606" s="61"/>
      <c r="W606" s="61"/>
    </row>
    <row r="607" spans="3:23" x14ac:dyDescent="0.25">
      <c r="C607" s="127"/>
      <c r="D607" s="128"/>
      <c r="E607" s="128"/>
      <c r="F607" s="128"/>
      <c r="G607" s="128"/>
      <c r="H607" s="124"/>
      <c r="I607" s="124"/>
      <c r="K607" s="86"/>
      <c r="L607" s="87"/>
      <c r="O607" s="92"/>
      <c r="Q607" s="93"/>
      <c r="S607" s="100"/>
      <c r="T607" s="91"/>
      <c r="U607" s="101"/>
      <c r="V607" s="61"/>
      <c r="W607" s="61"/>
    </row>
    <row r="608" spans="3:23" x14ac:dyDescent="0.25">
      <c r="C608" s="125"/>
      <c r="D608" s="126"/>
      <c r="E608" s="126"/>
      <c r="F608" s="126"/>
      <c r="G608" s="126"/>
      <c r="H608" s="124"/>
      <c r="I608" s="124"/>
      <c r="K608" s="86"/>
      <c r="L608" s="87"/>
      <c r="O608" s="92"/>
      <c r="Q608" s="93"/>
      <c r="S608" s="100"/>
      <c r="T608" s="91"/>
      <c r="U608" s="101"/>
      <c r="V608" s="61"/>
      <c r="W608" s="61"/>
    </row>
    <row r="609" spans="3:23" x14ac:dyDescent="0.25">
      <c r="C609" s="127"/>
      <c r="D609" s="128"/>
      <c r="E609" s="128"/>
      <c r="F609" s="128"/>
      <c r="G609" s="128"/>
      <c r="H609" s="124"/>
      <c r="I609" s="124"/>
      <c r="K609" s="86"/>
      <c r="L609" s="87"/>
      <c r="O609" s="92"/>
      <c r="Q609" s="93"/>
      <c r="S609" s="100"/>
      <c r="T609" s="91"/>
      <c r="U609" s="101"/>
      <c r="V609" s="61"/>
      <c r="W609" s="61"/>
    </row>
    <row r="610" spans="3:23" x14ac:dyDescent="0.25">
      <c r="C610" s="125"/>
      <c r="D610" s="126"/>
      <c r="E610" s="126"/>
      <c r="F610" s="126"/>
      <c r="G610" s="126"/>
      <c r="H610" s="124"/>
      <c r="I610" s="124"/>
      <c r="K610" s="86"/>
      <c r="L610" s="87"/>
      <c r="O610" s="92"/>
      <c r="Q610" s="93"/>
      <c r="S610" s="100"/>
      <c r="T610" s="91"/>
      <c r="U610" s="101"/>
      <c r="V610" s="61"/>
      <c r="W610" s="61"/>
    </row>
    <row r="611" spans="3:23" x14ac:dyDescent="0.25">
      <c r="C611" s="127"/>
      <c r="D611" s="128"/>
      <c r="E611" s="128"/>
      <c r="F611" s="128"/>
      <c r="G611" s="128"/>
      <c r="H611" s="124"/>
      <c r="I611" s="124"/>
      <c r="K611" s="86"/>
      <c r="L611" s="87"/>
      <c r="O611" s="92"/>
      <c r="Q611" s="93"/>
      <c r="S611" s="100"/>
      <c r="T611" s="91"/>
      <c r="U611" s="101"/>
      <c r="V611" s="61"/>
      <c r="W611" s="61"/>
    </row>
    <row r="612" spans="3:23" x14ac:dyDescent="0.25">
      <c r="C612" s="125"/>
      <c r="D612" s="126"/>
      <c r="E612" s="126"/>
      <c r="F612" s="126"/>
      <c r="G612" s="126"/>
      <c r="H612" s="124"/>
      <c r="I612" s="124"/>
      <c r="K612" s="86"/>
      <c r="L612" s="87"/>
      <c r="O612" s="92"/>
      <c r="Q612" s="93"/>
      <c r="S612" s="100"/>
      <c r="T612" s="91"/>
      <c r="U612" s="101"/>
      <c r="V612" s="61"/>
      <c r="W612" s="61"/>
    </row>
    <row r="613" spans="3:23" x14ac:dyDescent="0.25">
      <c r="C613" s="127"/>
      <c r="D613" s="128"/>
      <c r="E613" s="128"/>
      <c r="F613" s="128"/>
      <c r="G613" s="128"/>
      <c r="H613" s="124"/>
      <c r="I613" s="124"/>
      <c r="K613" s="86"/>
      <c r="L613" s="87"/>
      <c r="O613" s="92"/>
      <c r="Q613" s="93"/>
      <c r="S613" s="100"/>
      <c r="T613" s="91"/>
      <c r="U613" s="101"/>
      <c r="V613" s="61"/>
      <c r="W613" s="61"/>
    </row>
    <row r="614" spans="3:23" x14ac:dyDescent="0.25">
      <c r="C614" s="125"/>
      <c r="D614" s="126"/>
      <c r="E614" s="126"/>
      <c r="F614" s="126"/>
      <c r="G614" s="126"/>
      <c r="H614" s="124"/>
      <c r="I614" s="124"/>
      <c r="K614" s="86"/>
      <c r="L614" s="87"/>
      <c r="O614" s="92"/>
      <c r="Q614" s="93"/>
      <c r="S614" s="100"/>
      <c r="T614" s="91"/>
      <c r="U614" s="101"/>
      <c r="V614" s="61"/>
      <c r="W614" s="61"/>
    </row>
    <row r="615" spans="3:23" x14ac:dyDescent="0.25">
      <c r="C615" s="127"/>
      <c r="D615" s="128"/>
      <c r="E615" s="128"/>
      <c r="F615" s="128"/>
      <c r="G615" s="128"/>
      <c r="H615" s="124"/>
      <c r="I615" s="124"/>
      <c r="K615" s="86"/>
      <c r="L615" s="87"/>
      <c r="O615" s="92"/>
      <c r="Q615" s="93"/>
      <c r="S615" s="100"/>
      <c r="T615" s="91"/>
      <c r="U615" s="101"/>
      <c r="V615" s="61"/>
      <c r="W615" s="61"/>
    </row>
    <row r="616" spans="3:23" x14ac:dyDescent="0.25">
      <c r="C616" s="125"/>
      <c r="D616" s="126"/>
      <c r="E616" s="126"/>
      <c r="F616" s="126"/>
      <c r="G616" s="126"/>
      <c r="H616" s="124"/>
      <c r="I616" s="124"/>
      <c r="K616" s="86"/>
      <c r="L616" s="87"/>
      <c r="O616" s="92"/>
      <c r="Q616" s="93"/>
      <c r="S616" s="100"/>
      <c r="T616" s="91"/>
      <c r="U616" s="101"/>
      <c r="V616" s="61"/>
      <c r="W616" s="61"/>
    </row>
    <row r="617" spans="3:23" x14ac:dyDescent="0.25">
      <c r="C617" s="127"/>
      <c r="D617" s="128"/>
      <c r="E617" s="128"/>
      <c r="F617" s="128"/>
      <c r="G617" s="128"/>
      <c r="H617" s="124"/>
      <c r="I617" s="124"/>
      <c r="K617" s="86"/>
      <c r="L617" s="87"/>
      <c r="O617" s="92"/>
      <c r="Q617" s="93"/>
      <c r="S617" s="100"/>
      <c r="T617" s="91"/>
      <c r="U617" s="101"/>
      <c r="V617" s="61"/>
      <c r="W617" s="61"/>
    </row>
    <row r="618" spans="3:23" x14ac:dyDescent="0.25">
      <c r="C618" s="125"/>
      <c r="D618" s="126"/>
      <c r="E618" s="126"/>
      <c r="F618" s="126"/>
      <c r="G618" s="126"/>
      <c r="H618" s="124"/>
      <c r="I618" s="124"/>
      <c r="K618" s="86"/>
      <c r="L618" s="87"/>
      <c r="O618" s="92"/>
      <c r="Q618" s="93"/>
      <c r="S618" s="100"/>
      <c r="T618" s="91"/>
      <c r="U618" s="101"/>
      <c r="V618" s="61"/>
      <c r="W618" s="61"/>
    </row>
    <row r="619" spans="3:23" x14ac:dyDescent="0.25">
      <c r="C619" s="127"/>
      <c r="D619" s="128"/>
      <c r="E619" s="128"/>
      <c r="F619" s="128"/>
      <c r="G619" s="128"/>
      <c r="H619" s="124"/>
      <c r="I619" s="124"/>
      <c r="K619" s="86"/>
      <c r="L619" s="87"/>
      <c r="O619" s="92"/>
      <c r="Q619" s="93"/>
      <c r="S619" s="100"/>
      <c r="T619" s="91"/>
      <c r="U619" s="101"/>
      <c r="V619" s="61"/>
      <c r="W619" s="61"/>
    </row>
    <row r="620" spans="3:23" x14ac:dyDescent="0.25">
      <c r="C620" s="125"/>
      <c r="D620" s="126"/>
      <c r="E620" s="126"/>
      <c r="F620" s="126"/>
      <c r="G620" s="126"/>
      <c r="H620" s="124"/>
      <c r="I620" s="124"/>
      <c r="K620" s="86"/>
      <c r="L620" s="87"/>
      <c r="O620" s="92"/>
      <c r="Q620" s="93"/>
      <c r="S620" s="100"/>
      <c r="T620" s="91"/>
      <c r="U620" s="101"/>
      <c r="V620" s="61"/>
      <c r="W620" s="61"/>
    </row>
    <row r="621" spans="3:23" x14ac:dyDescent="0.25">
      <c r="C621" s="127"/>
      <c r="D621" s="128"/>
      <c r="E621" s="128"/>
      <c r="F621" s="128"/>
      <c r="G621" s="128"/>
      <c r="H621" s="124"/>
      <c r="I621" s="124"/>
      <c r="K621" s="86"/>
      <c r="L621" s="87"/>
      <c r="O621" s="92"/>
      <c r="Q621" s="93"/>
      <c r="S621" s="100"/>
      <c r="T621" s="91"/>
      <c r="U621" s="101"/>
      <c r="V621" s="61"/>
      <c r="W621" s="61"/>
    </row>
    <row r="622" spans="3:23" x14ac:dyDescent="0.25">
      <c r="C622" s="125"/>
      <c r="D622" s="126"/>
      <c r="E622" s="126"/>
      <c r="F622" s="126"/>
      <c r="G622" s="126"/>
      <c r="H622" s="124"/>
      <c r="I622" s="124"/>
      <c r="K622" s="86"/>
      <c r="L622" s="87"/>
      <c r="O622" s="92"/>
      <c r="Q622" s="93"/>
      <c r="S622" s="100"/>
      <c r="T622" s="91"/>
      <c r="U622" s="101"/>
      <c r="V622" s="61"/>
      <c r="W622" s="61"/>
    </row>
    <row r="623" spans="3:23" x14ac:dyDescent="0.25">
      <c r="C623" s="127"/>
      <c r="D623" s="128"/>
      <c r="E623" s="128"/>
      <c r="F623" s="128"/>
      <c r="G623" s="128"/>
      <c r="H623" s="124"/>
      <c r="I623" s="124"/>
      <c r="K623" s="86"/>
      <c r="L623" s="87"/>
      <c r="O623" s="92"/>
      <c r="Q623" s="93"/>
      <c r="S623" s="100"/>
      <c r="T623" s="91"/>
      <c r="U623" s="101"/>
      <c r="V623" s="61"/>
      <c r="W623" s="61"/>
    </row>
    <row r="624" spans="3:23" x14ac:dyDescent="0.25">
      <c r="C624" s="125"/>
      <c r="D624" s="126"/>
      <c r="E624" s="126"/>
      <c r="F624" s="126"/>
      <c r="G624" s="126"/>
      <c r="H624" s="124"/>
      <c r="I624" s="124"/>
      <c r="K624" s="86"/>
      <c r="L624" s="87"/>
      <c r="O624" s="92"/>
      <c r="Q624" s="93"/>
      <c r="S624" s="100"/>
      <c r="T624" s="91"/>
      <c r="U624" s="101"/>
      <c r="V624" s="61"/>
      <c r="W624" s="61"/>
    </row>
    <row r="625" spans="3:23" x14ac:dyDescent="0.25">
      <c r="C625" s="127"/>
      <c r="D625" s="128"/>
      <c r="E625" s="128"/>
      <c r="F625" s="128"/>
      <c r="G625" s="128"/>
      <c r="H625" s="124"/>
      <c r="I625" s="124"/>
      <c r="K625" s="86"/>
      <c r="L625" s="87"/>
      <c r="O625" s="92"/>
      <c r="Q625" s="93"/>
      <c r="S625" s="100"/>
      <c r="T625" s="91"/>
      <c r="U625" s="101"/>
      <c r="V625" s="61"/>
      <c r="W625" s="61"/>
    </row>
    <row r="626" spans="3:23" x14ac:dyDescent="0.25">
      <c r="C626" s="125"/>
      <c r="D626" s="126"/>
      <c r="E626" s="126"/>
      <c r="F626" s="126"/>
      <c r="G626" s="126"/>
      <c r="H626" s="124"/>
      <c r="I626" s="124"/>
      <c r="K626" s="86"/>
      <c r="L626" s="87"/>
      <c r="O626" s="92"/>
      <c r="Q626" s="93"/>
      <c r="S626" s="100"/>
      <c r="T626" s="91"/>
      <c r="U626" s="101"/>
      <c r="V626" s="61"/>
      <c r="W626" s="61"/>
    </row>
    <row r="627" spans="3:23" x14ac:dyDescent="0.25">
      <c r="C627" s="127"/>
      <c r="D627" s="128"/>
      <c r="E627" s="128"/>
      <c r="F627" s="128"/>
      <c r="G627" s="128"/>
      <c r="H627" s="124"/>
      <c r="I627" s="124"/>
      <c r="K627" s="86"/>
      <c r="L627" s="87"/>
      <c r="O627" s="92"/>
      <c r="Q627" s="93"/>
      <c r="S627" s="100"/>
      <c r="T627" s="91"/>
      <c r="U627" s="101"/>
      <c r="V627" s="61"/>
      <c r="W627" s="61"/>
    </row>
    <row r="628" spans="3:23" x14ac:dyDescent="0.25">
      <c r="C628" s="125"/>
      <c r="D628" s="126"/>
      <c r="E628" s="126"/>
      <c r="F628" s="126"/>
      <c r="G628" s="126"/>
      <c r="H628" s="124"/>
      <c r="I628" s="124"/>
      <c r="K628" s="86"/>
      <c r="L628" s="87"/>
      <c r="O628" s="92"/>
      <c r="Q628" s="93"/>
      <c r="S628" s="100"/>
      <c r="T628" s="91"/>
      <c r="U628" s="101"/>
      <c r="V628" s="61"/>
      <c r="W628" s="61"/>
    </row>
    <row r="629" spans="3:23" x14ac:dyDescent="0.25">
      <c r="C629" s="127"/>
      <c r="D629" s="128"/>
      <c r="E629" s="128"/>
      <c r="F629" s="128"/>
      <c r="G629" s="128"/>
      <c r="H629" s="124"/>
      <c r="I629" s="124"/>
      <c r="K629" s="86"/>
      <c r="L629" s="87"/>
      <c r="O629" s="92"/>
      <c r="Q629" s="93"/>
      <c r="S629" s="100"/>
      <c r="T629" s="91"/>
      <c r="U629" s="101"/>
      <c r="V629" s="61"/>
      <c r="W629" s="61"/>
    </row>
    <row r="630" spans="3:23" x14ac:dyDescent="0.25">
      <c r="C630" s="125"/>
      <c r="D630" s="126"/>
      <c r="E630" s="126"/>
      <c r="F630" s="126"/>
      <c r="G630" s="126"/>
      <c r="H630" s="124"/>
      <c r="I630" s="124"/>
      <c r="K630" s="86"/>
      <c r="L630" s="87"/>
      <c r="O630" s="92"/>
      <c r="Q630" s="93"/>
      <c r="S630" s="100"/>
      <c r="T630" s="91"/>
      <c r="U630" s="101"/>
      <c r="V630" s="61"/>
      <c r="W630" s="61"/>
    </row>
    <row r="631" spans="3:23" x14ac:dyDescent="0.25">
      <c r="C631" s="127"/>
      <c r="D631" s="128"/>
      <c r="E631" s="128"/>
      <c r="F631" s="128"/>
      <c r="G631" s="128"/>
      <c r="H631" s="124"/>
      <c r="I631" s="124"/>
      <c r="K631" s="86"/>
      <c r="L631" s="87"/>
      <c r="O631" s="92"/>
      <c r="Q631" s="93"/>
      <c r="S631" s="100"/>
      <c r="T631" s="91"/>
      <c r="U631" s="101"/>
      <c r="V631" s="61"/>
      <c r="W631" s="61"/>
    </row>
    <row r="632" spans="3:23" x14ac:dyDescent="0.25">
      <c r="C632" s="125"/>
      <c r="D632" s="126"/>
      <c r="E632" s="126"/>
      <c r="F632" s="126"/>
      <c r="G632" s="126"/>
      <c r="H632" s="124"/>
      <c r="I632" s="124"/>
      <c r="K632" s="86"/>
      <c r="L632" s="87"/>
      <c r="O632" s="92"/>
      <c r="Q632" s="93"/>
      <c r="S632" s="100"/>
      <c r="T632" s="91"/>
      <c r="U632" s="101"/>
      <c r="V632" s="61"/>
      <c r="W632" s="61"/>
    </row>
    <row r="633" spans="3:23" x14ac:dyDescent="0.25">
      <c r="C633" s="127"/>
      <c r="D633" s="128"/>
      <c r="E633" s="128"/>
      <c r="F633" s="128"/>
      <c r="G633" s="128"/>
      <c r="H633" s="124"/>
      <c r="I633" s="124"/>
      <c r="K633" s="86"/>
      <c r="L633" s="87"/>
      <c r="O633" s="92"/>
      <c r="Q633" s="93"/>
      <c r="S633" s="100"/>
      <c r="T633" s="91"/>
      <c r="U633" s="101"/>
      <c r="V633" s="61"/>
      <c r="W633" s="61"/>
    </row>
    <row r="634" spans="3:23" x14ac:dyDescent="0.25">
      <c r="C634" s="125"/>
      <c r="D634" s="126"/>
      <c r="E634" s="126"/>
      <c r="F634" s="126"/>
      <c r="G634" s="126"/>
      <c r="H634" s="124"/>
      <c r="I634" s="124"/>
      <c r="K634" s="86"/>
      <c r="L634" s="87"/>
      <c r="O634" s="92"/>
      <c r="Q634" s="93"/>
      <c r="S634" s="100"/>
      <c r="T634" s="91"/>
      <c r="U634" s="101"/>
      <c r="V634" s="61"/>
      <c r="W634" s="61"/>
    </row>
    <row r="635" spans="3:23" x14ac:dyDescent="0.25">
      <c r="C635" s="127"/>
      <c r="D635" s="128"/>
      <c r="E635" s="128"/>
      <c r="F635" s="128"/>
      <c r="G635" s="128"/>
      <c r="H635" s="124"/>
      <c r="I635" s="124"/>
      <c r="K635" s="86"/>
      <c r="L635" s="87"/>
      <c r="O635" s="92"/>
      <c r="Q635" s="93"/>
      <c r="S635" s="100"/>
      <c r="T635" s="91"/>
      <c r="U635" s="101"/>
      <c r="V635" s="61"/>
      <c r="W635" s="61"/>
    </row>
    <row r="636" spans="3:23" x14ac:dyDescent="0.25">
      <c r="C636" s="125"/>
      <c r="D636" s="126"/>
      <c r="E636" s="126"/>
      <c r="F636" s="126"/>
      <c r="G636" s="126"/>
      <c r="H636" s="124"/>
      <c r="I636" s="124"/>
      <c r="K636" s="86"/>
      <c r="L636" s="87"/>
      <c r="O636" s="92"/>
      <c r="Q636" s="93"/>
      <c r="S636" s="100"/>
      <c r="T636" s="91"/>
      <c r="U636" s="101"/>
      <c r="V636" s="61"/>
      <c r="W636" s="61"/>
    </row>
    <row r="637" spans="3:23" x14ac:dyDescent="0.25">
      <c r="C637" s="127"/>
      <c r="D637" s="128"/>
      <c r="E637" s="128"/>
      <c r="F637" s="128"/>
      <c r="G637" s="128"/>
      <c r="H637" s="124"/>
      <c r="I637" s="124"/>
      <c r="K637" s="86"/>
      <c r="L637" s="87"/>
      <c r="O637" s="92"/>
      <c r="Q637" s="93"/>
      <c r="S637" s="100"/>
      <c r="T637" s="91"/>
      <c r="U637" s="101"/>
      <c r="V637" s="61"/>
      <c r="W637" s="61"/>
    </row>
    <row r="638" spans="3:23" x14ac:dyDescent="0.25">
      <c r="C638" s="125"/>
      <c r="D638" s="126"/>
      <c r="E638" s="126"/>
      <c r="F638" s="126"/>
      <c r="G638" s="126"/>
      <c r="H638" s="124"/>
      <c r="I638" s="124"/>
      <c r="K638" s="86"/>
      <c r="L638" s="87"/>
      <c r="O638" s="92"/>
      <c r="Q638" s="93"/>
      <c r="S638" s="100"/>
      <c r="T638" s="91"/>
      <c r="U638" s="101"/>
      <c r="V638" s="61"/>
      <c r="W638" s="61"/>
    </row>
    <row r="639" spans="3:23" x14ac:dyDescent="0.25">
      <c r="C639" s="127"/>
      <c r="D639" s="128"/>
      <c r="E639" s="128"/>
      <c r="F639" s="128"/>
      <c r="G639" s="128"/>
      <c r="H639" s="124"/>
      <c r="I639" s="124"/>
      <c r="K639" s="86"/>
      <c r="L639" s="87"/>
      <c r="O639" s="92"/>
      <c r="Q639" s="93"/>
      <c r="S639" s="100"/>
      <c r="T639" s="91"/>
      <c r="U639" s="101"/>
      <c r="V639" s="61"/>
      <c r="W639" s="61"/>
    </row>
    <row r="640" spans="3:23" x14ac:dyDescent="0.25">
      <c r="C640" s="125"/>
      <c r="D640" s="126"/>
      <c r="E640" s="126"/>
      <c r="F640" s="126"/>
      <c r="G640" s="126"/>
      <c r="H640" s="124"/>
      <c r="I640" s="124"/>
      <c r="K640" s="86"/>
      <c r="L640" s="87"/>
      <c r="O640" s="92"/>
      <c r="Q640" s="93"/>
      <c r="S640" s="100"/>
      <c r="T640" s="91"/>
      <c r="U640" s="101"/>
      <c r="V640" s="61"/>
      <c r="W640" s="61"/>
    </row>
    <row r="641" spans="3:23" x14ac:dyDescent="0.25">
      <c r="C641" s="127"/>
      <c r="D641" s="128"/>
      <c r="E641" s="128"/>
      <c r="F641" s="128"/>
      <c r="G641" s="128"/>
      <c r="H641" s="124"/>
      <c r="I641" s="124"/>
      <c r="K641" s="86"/>
      <c r="L641" s="87"/>
      <c r="O641" s="92"/>
      <c r="Q641" s="93"/>
      <c r="S641" s="100"/>
      <c r="T641" s="91"/>
      <c r="U641" s="101"/>
      <c r="V641" s="61"/>
      <c r="W641" s="61"/>
    </row>
    <row r="642" spans="3:23" x14ac:dyDescent="0.25">
      <c r="C642" s="125"/>
      <c r="D642" s="126"/>
      <c r="E642" s="126"/>
      <c r="F642" s="126"/>
      <c r="G642" s="126"/>
      <c r="H642" s="124"/>
      <c r="I642" s="124"/>
      <c r="K642" s="86"/>
      <c r="L642" s="87"/>
      <c r="O642" s="92"/>
      <c r="Q642" s="93"/>
      <c r="S642" s="100"/>
      <c r="T642" s="91"/>
      <c r="U642" s="101"/>
      <c r="V642" s="61"/>
      <c r="W642" s="61"/>
    </row>
    <row r="643" spans="3:23" x14ac:dyDescent="0.25">
      <c r="C643" s="127"/>
      <c r="D643" s="128"/>
      <c r="E643" s="128"/>
      <c r="F643" s="128"/>
      <c r="G643" s="128"/>
      <c r="H643" s="124"/>
      <c r="I643" s="124"/>
      <c r="K643" s="86"/>
      <c r="L643" s="87"/>
      <c r="O643" s="92"/>
      <c r="Q643" s="93"/>
      <c r="S643" s="100"/>
      <c r="T643" s="91"/>
      <c r="U643" s="101"/>
      <c r="V643" s="61"/>
      <c r="W643" s="61"/>
    </row>
    <row r="644" spans="3:23" x14ac:dyDescent="0.25">
      <c r="C644" s="125"/>
      <c r="D644" s="126"/>
      <c r="E644" s="126"/>
      <c r="F644" s="126"/>
      <c r="G644" s="126"/>
      <c r="H644" s="124"/>
      <c r="I644" s="124"/>
      <c r="K644" s="86"/>
      <c r="L644" s="87"/>
      <c r="O644" s="92"/>
      <c r="Q644" s="93"/>
      <c r="S644" s="100"/>
      <c r="T644" s="91"/>
      <c r="U644" s="101"/>
      <c r="V644" s="61"/>
      <c r="W644" s="61"/>
    </row>
    <row r="645" spans="3:23" x14ac:dyDescent="0.25">
      <c r="C645" s="127"/>
      <c r="D645" s="128"/>
      <c r="E645" s="128"/>
      <c r="F645" s="128"/>
      <c r="G645" s="128"/>
      <c r="H645" s="124"/>
      <c r="I645" s="124"/>
      <c r="K645" s="86"/>
      <c r="L645" s="87"/>
      <c r="O645" s="92"/>
      <c r="Q645" s="93"/>
      <c r="S645" s="100"/>
      <c r="T645" s="91"/>
      <c r="U645" s="101"/>
      <c r="V645" s="61"/>
      <c r="W645" s="61"/>
    </row>
    <row r="646" spans="3:23" x14ac:dyDescent="0.25">
      <c r="C646" s="125"/>
      <c r="D646" s="126"/>
      <c r="E646" s="126"/>
      <c r="F646" s="126"/>
      <c r="G646" s="126"/>
      <c r="H646" s="124"/>
      <c r="I646" s="124"/>
      <c r="K646" s="86"/>
      <c r="L646" s="87"/>
      <c r="O646" s="92"/>
      <c r="Q646" s="93"/>
      <c r="S646" s="100"/>
      <c r="T646" s="91"/>
      <c r="U646" s="101"/>
      <c r="V646" s="61"/>
      <c r="W646" s="61"/>
    </row>
    <row r="647" spans="3:23" x14ac:dyDescent="0.25">
      <c r="C647" s="127"/>
      <c r="D647" s="128"/>
      <c r="E647" s="128"/>
      <c r="F647" s="128"/>
      <c r="G647" s="128"/>
      <c r="H647" s="124"/>
      <c r="I647" s="124"/>
      <c r="K647" s="86"/>
      <c r="L647" s="87"/>
      <c r="O647" s="92"/>
      <c r="Q647" s="93"/>
      <c r="S647" s="100"/>
      <c r="T647" s="91"/>
      <c r="U647" s="101"/>
      <c r="V647" s="61"/>
      <c r="W647" s="61"/>
    </row>
    <row r="648" spans="3:23" x14ac:dyDescent="0.25">
      <c r="C648" s="125"/>
      <c r="D648" s="126"/>
      <c r="E648" s="126"/>
      <c r="F648" s="126"/>
      <c r="G648" s="126"/>
      <c r="H648" s="124"/>
      <c r="I648" s="124"/>
      <c r="K648" s="86"/>
      <c r="L648" s="87"/>
      <c r="O648" s="92"/>
      <c r="Q648" s="93"/>
      <c r="S648" s="100"/>
      <c r="T648" s="91"/>
      <c r="U648" s="101"/>
      <c r="V648" s="61"/>
      <c r="W648" s="61"/>
    </row>
    <row r="649" spans="3:23" x14ac:dyDescent="0.25">
      <c r="C649" s="127"/>
      <c r="D649" s="128"/>
      <c r="E649" s="128"/>
      <c r="F649" s="128"/>
      <c r="G649" s="128"/>
      <c r="H649" s="124"/>
      <c r="I649" s="124"/>
      <c r="K649" s="86"/>
      <c r="L649" s="87"/>
      <c r="O649" s="92"/>
      <c r="Q649" s="93"/>
      <c r="S649" s="100"/>
      <c r="T649" s="91"/>
      <c r="U649" s="101"/>
      <c r="V649" s="61"/>
      <c r="W649" s="61"/>
    </row>
    <row r="650" spans="3:23" x14ac:dyDescent="0.25">
      <c r="C650" s="125"/>
      <c r="D650" s="126"/>
      <c r="E650" s="126"/>
      <c r="F650" s="126"/>
      <c r="G650" s="126"/>
      <c r="H650" s="124"/>
      <c r="I650" s="124"/>
      <c r="K650" s="86"/>
      <c r="L650" s="87"/>
      <c r="O650" s="92"/>
      <c r="Q650" s="93"/>
      <c r="S650" s="100"/>
      <c r="T650" s="91"/>
      <c r="U650" s="101"/>
      <c r="V650" s="61"/>
      <c r="W650" s="61"/>
    </row>
    <row r="651" spans="3:23" x14ac:dyDescent="0.25">
      <c r="C651" s="127"/>
      <c r="D651" s="128"/>
      <c r="E651" s="128"/>
      <c r="F651" s="128"/>
      <c r="G651" s="128"/>
      <c r="H651" s="124"/>
      <c r="I651" s="124"/>
      <c r="K651" s="86"/>
      <c r="L651" s="87"/>
      <c r="O651" s="92"/>
      <c r="Q651" s="93"/>
      <c r="S651" s="100"/>
      <c r="T651" s="91"/>
      <c r="U651" s="101"/>
      <c r="V651" s="61"/>
      <c r="W651" s="61"/>
    </row>
    <row r="652" spans="3:23" x14ac:dyDescent="0.25">
      <c r="C652" s="125"/>
      <c r="D652" s="126"/>
      <c r="E652" s="126"/>
      <c r="F652" s="126"/>
      <c r="G652" s="126"/>
      <c r="H652" s="124"/>
      <c r="I652" s="124"/>
      <c r="K652" s="86"/>
      <c r="L652" s="87"/>
      <c r="O652" s="92"/>
      <c r="Q652" s="93"/>
      <c r="S652" s="100"/>
      <c r="T652" s="91"/>
      <c r="U652" s="101"/>
      <c r="V652" s="61"/>
      <c r="W652" s="61"/>
    </row>
    <row r="653" spans="3:23" x14ac:dyDescent="0.25">
      <c r="C653" s="127"/>
      <c r="D653" s="128"/>
      <c r="E653" s="128"/>
      <c r="F653" s="128"/>
      <c r="G653" s="128"/>
      <c r="H653" s="124"/>
      <c r="I653" s="124"/>
      <c r="K653" s="86"/>
      <c r="L653" s="87"/>
      <c r="O653" s="92"/>
      <c r="Q653" s="93"/>
      <c r="S653" s="100"/>
      <c r="T653" s="91"/>
      <c r="U653" s="101"/>
      <c r="V653" s="61"/>
      <c r="W653" s="61"/>
    </row>
    <row r="654" spans="3:23" x14ac:dyDescent="0.25">
      <c r="C654" s="125"/>
      <c r="D654" s="126"/>
      <c r="E654" s="126"/>
      <c r="F654" s="126"/>
      <c r="G654" s="126"/>
      <c r="H654" s="124"/>
      <c r="I654" s="124"/>
      <c r="K654" s="86"/>
      <c r="L654" s="87"/>
      <c r="O654" s="92"/>
      <c r="Q654" s="93"/>
      <c r="S654" s="100"/>
      <c r="T654" s="91"/>
      <c r="U654" s="101"/>
      <c r="V654" s="61"/>
      <c r="W654" s="61"/>
    </row>
    <row r="655" spans="3:23" x14ac:dyDescent="0.25">
      <c r="C655" s="127"/>
      <c r="D655" s="128"/>
      <c r="E655" s="128"/>
      <c r="F655" s="128"/>
      <c r="G655" s="128"/>
      <c r="H655" s="124"/>
      <c r="I655" s="124"/>
      <c r="K655" s="86"/>
      <c r="L655" s="87"/>
      <c r="O655" s="92"/>
      <c r="Q655" s="93"/>
      <c r="S655" s="100"/>
      <c r="T655" s="91"/>
      <c r="U655" s="101"/>
      <c r="V655" s="61"/>
      <c r="W655" s="61"/>
    </row>
    <row r="656" spans="3:23" x14ac:dyDescent="0.25">
      <c r="C656" s="125"/>
      <c r="D656" s="126"/>
      <c r="E656" s="126"/>
      <c r="F656" s="126"/>
      <c r="G656" s="126"/>
      <c r="H656" s="124"/>
      <c r="I656" s="124"/>
      <c r="K656" s="86"/>
      <c r="L656" s="87"/>
      <c r="O656" s="92"/>
      <c r="Q656" s="93"/>
      <c r="S656" s="100"/>
      <c r="T656" s="91"/>
      <c r="U656" s="101"/>
      <c r="V656" s="61"/>
      <c r="W656" s="61"/>
    </row>
    <row r="657" spans="3:23" x14ac:dyDescent="0.25">
      <c r="C657" s="127"/>
      <c r="D657" s="128"/>
      <c r="E657" s="128"/>
      <c r="F657" s="128"/>
      <c r="G657" s="128"/>
      <c r="H657" s="124"/>
      <c r="I657" s="124"/>
      <c r="K657" s="86"/>
      <c r="L657" s="87"/>
      <c r="O657" s="92"/>
      <c r="Q657" s="93"/>
      <c r="S657" s="100"/>
      <c r="T657" s="91"/>
      <c r="U657" s="101"/>
      <c r="V657" s="61"/>
      <c r="W657" s="61"/>
    </row>
    <row r="658" spans="3:23" x14ac:dyDescent="0.25">
      <c r="C658" s="125"/>
      <c r="D658" s="126"/>
      <c r="E658" s="126"/>
      <c r="F658" s="126"/>
      <c r="G658" s="126"/>
      <c r="H658" s="124"/>
      <c r="I658" s="124"/>
      <c r="K658" s="86"/>
      <c r="L658" s="87"/>
      <c r="O658" s="92"/>
      <c r="Q658" s="93"/>
      <c r="S658" s="100"/>
      <c r="T658" s="91"/>
      <c r="U658" s="101"/>
      <c r="V658" s="61"/>
      <c r="W658" s="61"/>
    </row>
    <row r="659" spans="3:23" x14ac:dyDescent="0.25">
      <c r="C659" s="127"/>
      <c r="D659" s="128"/>
      <c r="E659" s="128"/>
      <c r="F659" s="128"/>
      <c r="G659" s="128"/>
      <c r="H659" s="124"/>
      <c r="I659" s="124"/>
      <c r="K659" s="86"/>
      <c r="L659" s="87"/>
      <c r="O659" s="92"/>
      <c r="Q659" s="93"/>
      <c r="S659" s="100"/>
      <c r="T659" s="91"/>
      <c r="U659" s="101"/>
      <c r="V659" s="61"/>
      <c r="W659" s="61"/>
    </row>
    <row r="660" spans="3:23" x14ac:dyDescent="0.25">
      <c r="C660" s="125"/>
      <c r="D660" s="126"/>
      <c r="E660" s="126"/>
      <c r="F660" s="126"/>
      <c r="G660" s="126"/>
      <c r="H660" s="124"/>
      <c r="I660" s="124"/>
      <c r="K660" s="86"/>
      <c r="L660" s="87"/>
      <c r="O660" s="92"/>
      <c r="Q660" s="93"/>
      <c r="S660" s="100"/>
      <c r="T660" s="91"/>
      <c r="U660" s="101"/>
      <c r="V660" s="61"/>
      <c r="W660" s="61"/>
    </row>
    <row r="661" spans="3:23" x14ac:dyDescent="0.25">
      <c r="C661" s="127"/>
      <c r="D661" s="128"/>
      <c r="E661" s="128"/>
      <c r="F661" s="128"/>
      <c r="G661" s="128"/>
      <c r="H661" s="124"/>
      <c r="I661" s="124"/>
      <c r="K661" s="86"/>
      <c r="L661" s="87"/>
      <c r="O661" s="92"/>
      <c r="Q661" s="93"/>
      <c r="S661" s="100"/>
      <c r="T661" s="91"/>
      <c r="U661" s="101"/>
      <c r="V661" s="61"/>
      <c r="W661" s="61"/>
    </row>
    <row r="662" spans="3:23" x14ac:dyDescent="0.25">
      <c r="C662" s="125"/>
      <c r="D662" s="126"/>
      <c r="E662" s="126"/>
      <c r="F662" s="126"/>
      <c r="G662" s="126"/>
      <c r="H662" s="124"/>
      <c r="I662" s="124"/>
      <c r="K662" s="86"/>
      <c r="L662" s="87"/>
      <c r="O662" s="92"/>
      <c r="Q662" s="93"/>
      <c r="S662" s="100"/>
      <c r="T662" s="91"/>
      <c r="U662" s="101"/>
      <c r="V662" s="61"/>
      <c r="W662" s="61"/>
    </row>
    <row r="663" spans="3:23" x14ac:dyDescent="0.25">
      <c r="C663" s="127"/>
      <c r="D663" s="128"/>
      <c r="E663" s="128"/>
      <c r="F663" s="128"/>
      <c r="G663" s="128"/>
      <c r="H663" s="124"/>
      <c r="I663" s="124"/>
      <c r="K663" s="86"/>
      <c r="L663" s="87"/>
      <c r="O663" s="92"/>
      <c r="Q663" s="93"/>
      <c r="S663" s="100"/>
      <c r="T663" s="91"/>
      <c r="U663" s="101"/>
      <c r="V663" s="61"/>
      <c r="W663" s="61"/>
    </row>
    <row r="664" spans="3:23" x14ac:dyDescent="0.25">
      <c r="C664" s="125"/>
      <c r="D664" s="126"/>
      <c r="E664" s="126"/>
      <c r="F664" s="126"/>
      <c r="G664" s="126"/>
      <c r="H664" s="124"/>
      <c r="I664" s="124"/>
      <c r="K664" s="86"/>
      <c r="L664" s="87"/>
      <c r="O664" s="92"/>
      <c r="Q664" s="93"/>
      <c r="S664" s="100"/>
      <c r="T664" s="91"/>
      <c r="U664" s="101"/>
      <c r="V664" s="61"/>
      <c r="W664" s="61"/>
    </row>
    <row r="665" spans="3:23" x14ac:dyDescent="0.25">
      <c r="C665" s="127"/>
      <c r="D665" s="128"/>
      <c r="E665" s="128"/>
      <c r="F665" s="128"/>
      <c r="G665" s="128"/>
      <c r="H665" s="124"/>
      <c r="I665" s="124"/>
      <c r="K665" s="86"/>
      <c r="L665" s="87"/>
      <c r="O665" s="92"/>
      <c r="Q665" s="93"/>
      <c r="S665" s="100"/>
      <c r="T665" s="91"/>
      <c r="U665" s="101"/>
      <c r="V665" s="61"/>
      <c r="W665" s="61"/>
    </row>
    <row r="666" spans="3:23" x14ac:dyDescent="0.25">
      <c r="C666" s="125"/>
      <c r="D666" s="126"/>
      <c r="E666" s="126"/>
      <c r="F666" s="126"/>
      <c r="G666" s="126"/>
      <c r="H666" s="124"/>
      <c r="I666" s="124"/>
      <c r="K666" s="86"/>
      <c r="L666" s="87"/>
      <c r="O666" s="92"/>
      <c r="Q666" s="93"/>
      <c r="S666" s="100"/>
      <c r="T666" s="91"/>
      <c r="U666" s="101"/>
      <c r="V666" s="61"/>
      <c r="W666" s="61"/>
    </row>
    <row r="667" spans="3:23" x14ac:dyDescent="0.25">
      <c r="C667" s="127"/>
      <c r="D667" s="128"/>
      <c r="E667" s="128"/>
      <c r="F667" s="128"/>
      <c r="G667" s="128"/>
      <c r="H667" s="124"/>
      <c r="I667" s="124"/>
      <c r="K667" s="86"/>
      <c r="L667" s="87"/>
      <c r="O667" s="92"/>
      <c r="Q667" s="93"/>
      <c r="S667" s="100"/>
      <c r="T667" s="91"/>
      <c r="U667" s="101"/>
      <c r="V667" s="61"/>
      <c r="W667" s="61"/>
    </row>
    <row r="668" spans="3:23" x14ac:dyDescent="0.25">
      <c r="C668" s="125"/>
      <c r="D668" s="126"/>
      <c r="E668" s="126"/>
      <c r="F668" s="126"/>
      <c r="G668" s="126"/>
      <c r="H668" s="124"/>
      <c r="I668" s="124"/>
      <c r="K668" s="86"/>
      <c r="L668" s="87"/>
      <c r="O668" s="92"/>
      <c r="Q668" s="93"/>
      <c r="S668" s="100"/>
      <c r="T668" s="91"/>
      <c r="U668" s="101"/>
      <c r="V668" s="61"/>
      <c r="W668" s="61"/>
    </row>
    <row r="669" spans="3:23" x14ac:dyDescent="0.25">
      <c r="C669" s="127"/>
      <c r="D669" s="128"/>
      <c r="E669" s="128"/>
      <c r="F669" s="128"/>
      <c r="G669" s="128"/>
      <c r="H669" s="124"/>
      <c r="I669" s="124"/>
      <c r="K669" s="86"/>
      <c r="L669" s="87"/>
      <c r="O669" s="92"/>
      <c r="Q669" s="93"/>
      <c r="S669" s="100"/>
      <c r="T669" s="91"/>
      <c r="U669" s="101"/>
      <c r="V669" s="61"/>
      <c r="W669" s="61"/>
    </row>
    <row r="670" spans="3:23" x14ac:dyDescent="0.25">
      <c r="C670" s="125"/>
      <c r="D670" s="126"/>
      <c r="E670" s="126"/>
      <c r="F670" s="126"/>
      <c r="G670" s="126"/>
      <c r="H670" s="124"/>
      <c r="I670" s="124"/>
      <c r="K670" s="86"/>
      <c r="L670" s="87"/>
      <c r="O670" s="92"/>
      <c r="Q670" s="93"/>
      <c r="S670" s="100"/>
      <c r="T670" s="91"/>
      <c r="U670" s="101"/>
      <c r="V670" s="61"/>
      <c r="W670" s="61"/>
    </row>
    <row r="671" spans="3:23" x14ac:dyDescent="0.25">
      <c r="C671" s="127"/>
      <c r="D671" s="128"/>
      <c r="E671" s="128"/>
      <c r="F671" s="128"/>
      <c r="G671" s="128"/>
      <c r="H671" s="124"/>
      <c r="I671" s="124"/>
      <c r="K671" s="86"/>
      <c r="L671" s="87"/>
      <c r="O671" s="92"/>
      <c r="Q671" s="93"/>
      <c r="S671" s="100"/>
      <c r="T671" s="91"/>
      <c r="U671" s="101"/>
      <c r="V671" s="61"/>
      <c r="W671" s="61"/>
    </row>
    <row r="672" spans="3:23" x14ac:dyDescent="0.25">
      <c r="C672" s="125"/>
      <c r="D672" s="126"/>
      <c r="E672" s="126"/>
      <c r="F672" s="126"/>
      <c r="G672" s="126"/>
      <c r="H672" s="124"/>
      <c r="I672" s="124"/>
      <c r="K672" s="86"/>
      <c r="L672" s="87"/>
      <c r="O672" s="92"/>
      <c r="Q672" s="93"/>
      <c r="S672" s="100"/>
      <c r="T672" s="91"/>
      <c r="U672" s="101"/>
      <c r="V672" s="61"/>
      <c r="W672" s="61"/>
    </row>
    <row r="673" spans="3:23" x14ac:dyDescent="0.25">
      <c r="C673" s="127"/>
      <c r="D673" s="128"/>
      <c r="E673" s="128"/>
      <c r="F673" s="128"/>
      <c r="G673" s="128"/>
      <c r="H673" s="124"/>
      <c r="I673" s="124"/>
      <c r="K673" s="86"/>
      <c r="L673" s="87"/>
      <c r="O673" s="92"/>
      <c r="Q673" s="93"/>
      <c r="S673" s="100"/>
      <c r="T673" s="91"/>
      <c r="U673" s="101"/>
      <c r="V673" s="61"/>
      <c r="W673" s="61"/>
    </row>
    <row r="674" spans="3:23" x14ac:dyDescent="0.25">
      <c r="C674" s="125"/>
      <c r="D674" s="126"/>
      <c r="E674" s="126"/>
      <c r="F674" s="126"/>
      <c r="G674" s="126"/>
      <c r="H674" s="124"/>
      <c r="I674" s="124"/>
      <c r="K674" s="86"/>
      <c r="L674" s="87"/>
      <c r="O674" s="92"/>
      <c r="Q674" s="93"/>
      <c r="S674" s="100"/>
      <c r="T674" s="91"/>
      <c r="U674" s="101"/>
      <c r="V674" s="61"/>
      <c r="W674" s="61"/>
    </row>
    <row r="675" spans="3:23" x14ac:dyDescent="0.25">
      <c r="C675" s="127"/>
      <c r="D675" s="128"/>
      <c r="E675" s="128"/>
      <c r="F675" s="128"/>
      <c r="G675" s="128"/>
      <c r="H675" s="124"/>
      <c r="I675" s="124"/>
      <c r="K675" s="86"/>
      <c r="L675" s="87"/>
      <c r="O675" s="92"/>
      <c r="Q675" s="93"/>
      <c r="S675" s="100"/>
      <c r="T675" s="91"/>
      <c r="U675" s="101"/>
      <c r="V675" s="61"/>
      <c r="W675" s="61"/>
    </row>
    <row r="676" spans="3:23" x14ac:dyDescent="0.25">
      <c r="C676" s="125"/>
      <c r="D676" s="126"/>
      <c r="E676" s="126"/>
      <c r="F676" s="126"/>
      <c r="G676" s="126"/>
      <c r="H676" s="124"/>
      <c r="I676" s="124"/>
      <c r="K676" s="86"/>
      <c r="L676" s="87"/>
      <c r="O676" s="92"/>
      <c r="Q676" s="93"/>
      <c r="S676" s="100"/>
      <c r="T676" s="91"/>
      <c r="U676" s="101"/>
      <c r="V676" s="61"/>
      <c r="W676" s="61"/>
    </row>
    <row r="677" spans="3:23" x14ac:dyDescent="0.25">
      <c r="C677" s="127"/>
      <c r="D677" s="128"/>
      <c r="E677" s="128"/>
      <c r="F677" s="128"/>
      <c r="G677" s="128"/>
      <c r="H677" s="124"/>
      <c r="I677" s="124"/>
      <c r="K677" s="86"/>
      <c r="L677" s="87"/>
      <c r="O677" s="92"/>
      <c r="Q677" s="93"/>
      <c r="S677" s="100"/>
      <c r="T677" s="91"/>
      <c r="U677" s="101"/>
      <c r="V677" s="61"/>
      <c r="W677" s="61"/>
    </row>
    <row r="678" spans="3:23" x14ac:dyDescent="0.25">
      <c r="C678" s="125"/>
      <c r="D678" s="126"/>
      <c r="E678" s="126"/>
      <c r="F678" s="126"/>
      <c r="G678" s="126"/>
      <c r="H678" s="124"/>
      <c r="I678" s="124"/>
      <c r="K678" s="86"/>
      <c r="L678" s="87"/>
      <c r="O678" s="92"/>
      <c r="Q678" s="93"/>
      <c r="S678" s="100"/>
      <c r="T678" s="91"/>
      <c r="U678" s="101"/>
      <c r="V678" s="61"/>
      <c r="W678" s="61"/>
    </row>
    <row r="679" spans="3:23" x14ac:dyDescent="0.25">
      <c r="C679" s="127"/>
      <c r="D679" s="128"/>
      <c r="E679" s="128"/>
      <c r="F679" s="128"/>
      <c r="G679" s="128"/>
      <c r="H679" s="124"/>
      <c r="I679" s="124"/>
      <c r="K679" s="86"/>
      <c r="L679" s="87"/>
      <c r="O679" s="92"/>
      <c r="Q679" s="93"/>
      <c r="S679" s="100"/>
      <c r="T679" s="91"/>
      <c r="U679" s="101"/>
      <c r="V679" s="61"/>
      <c r="W679" s="61"/>
    </row>
    <row r="680" spans="3:23" x14ac:dyDescent="0.25">
      <c r="C680" s="125"/>
      <c r="D680" s="126"/>
      <c r="E680" s="126"/>
      <c r="F680" s="126"/>
      <c r="G680" s="126"/>
      <c r="H680" s="124"/>
      <c r="I680" s="124"/>
      <c r="K680" s="86"/>
      <c r="L680" s="87"/>
      <c r="O680" s="92"/>
      <c r="Q680" s="93"/>
      <c r="S680" s="100"/>
      <c r="T680" s="91"/>
      <c r="U680" s="101"/>
      <c r="V680" s="61"/>
      <c r="W680" s="61"/>
    </row>
    <row r="681" spans="3:23" x14ac:dyDescent="0.25">
      <c r="C681" s="127"/>
      <c r="D681" s="128"/>
      <c r="E681" s="128"/>
      <c r="F681" s="128"/>
      <c r="G681" s="128"/>
      <c r="H681" s="124"/>
      <c r="I681" s="124"/>
      <c r="K681" s="86"/>
      <c r="L681" s="87"/>
      <c r="O681" s="92"/>
      <c r="Q681" s="93"/>
      <c r="S681" s="100"/>
      <c r="T681" s="91"/>
      <c r="U681" s="101"/>
      <c r="V681" s="61"/>
      <c r="W681" s="61"/>
    </row>
    <row r="682" spans="3:23" x14ac:dyDescent="0.25">
      <c r="C682" s="125"/>
      <c r="D682" s="126"/>
      <c r="E682" s="126"/>
      <c r="F682" s="126"/>
      <c r="G682" s="126"/>
      <c r="H682" s="124"/>
      <c r="I682" s="124"/>
      <c r="K682" s="86"/>
      <c r="L682" s="87"/>
      <c r="O682" s="92"/>
      <c r="Q682" s="93"/>
      <c r="S682" s="100"/>
      <c r="T682" s="91"/>
      <c r="U682" s="101"/>
      <c r="V682" s="61"/>
      <c r="W682" s="61"/>
    </row>
    <row r="683" spans="3:23" x14ac:dyDescent="0.25">
      <c r="C683" s="127"/>
      <c r="D683" s="128"/>
      <c r="E683" s="128"/>
      <c r="F683" s="128"/>
      <c r="G683" s="128"/>
      <c r="H683" s="124"/>
      <c r="I683" s="124"/>
      <c r="K683" s="86"/>
      <c r="L683" s="87"/>
      <c r="O683" s="92"/>
      <c r="Q683" s="93"/>
      <c r="S683" s="100"/>
      <c r="T683" s="91"/>
      <c r="U683" s="101"/>
      <c r="V683" s="61"/>
      <c r="W683" s="61"/>
    </row>
    <row r="684" spans="3:23" x14ac:dyDescent="0.25">
      <c r="C684" s="125"/>
      <c r="D684" s="126"/>
      <c r="E684" s="126"/>
      <c r="F684" s="126"/>
      <c r="G684" s="126"/>
      <c r="H684" s="124"/>
      <c r="I684" s="124"/>
      <c r="K684" s="86"/>
      <c r="L684" s="87"/>
      <c r="O684" s="92"/>
      <c r="Q684" s="93"/>
      <c r="S684" s="100"/>
      <c r="T684" s="91"/>
      <c r="U684" s="101"/>
      <c r="V684" s="61"/>
      <c r="W684" s="61"/>
    </row>
    <row r="685" spans="3:23" x14ac:dyDescent="0.25">
      <c r="C685" s="127"/>
      <c r="D685" s="128"/>
      <c r="E685" s="128"/>
      <c r="F685" s="128"/>
      <c r="G685" s="128"/>
      <c r="H685" s="124"/>
      <c r="I685" s="124"/>
      <c r="K685" s="86"/>
      <c r="L685" s="87"/>
      <c r="O685" s="92"/>
      <c r="Q685" s="93"/>
      <c r="S685" s="100"/>
      <c r="T685" s="91"/>
      <c r="U685" s="101"/>
      <c r="V685" s="61"/>
      <c r="W685" s="61"/>
    </row>
    <row r="686" spans="3:23" x14ac:dyDescent="0.25">
      <c r="C686" s="125"/>
      <c r="D686" s="126"/>
      <c r="E686" s="126"/>
      <c r="F686" s="126"/>
      <c r="G686" s="126"/>
      <c r="H686" s="124"/>
      <c r="I686" s="124"/>
      <c r="K686" s="86"/>
      <c r="L686" s="87"/>
      <c r="O686" s="92"/>
      <c r="Q686" s="93"/>
      <c r="S686" s="100"/>
      <c r="T686" s="91"/>
      <c r="U686" s="101"/>
      <c r="V686" s="61"/>
      <c r="W686" s="61"/>
    </row>
    <row r="687" spans="3:23" x14ac:dyDescent="0.25">
      <c r="C687" s="127"/>
      <c r="D687" s="128"/>
      <c r="E687" s="128"/>
      <c r="F687" s="128"/>
      <c r="G687" s="128"/>
      <c r="H687" s="124"/>
      <c r="I687" s="124"/>
      <c r="K687" s="86"/>
      <c r="L687" s="87"/>
      <c r="O687" s="92"/>
      <c r="Q687" s="93"/>
      <c r="S687" s="100"/>
      <c r="T687" s="91"/>
      <c r="U687" s="101"/>
      <c r="V687" s="61"/>
      <c r="W687" s="61"/>
    </row>
    <row r="688" spans="3:23" x14ac:dyDescent="0.25">
      <c r="C688" s="125"/>
      <c r="D688" s="126"/>
      <c r="E688" s="126"/>
      <c r="F688" s="126"/>
      <c r="G688" s="126"/>
      <c r="H688" s="124"/>
      <c r="I688" s="124"/>
      <c r="K688" s="86"/>
      <c r="L688" s="87"/>
      <c r="O688" s="92"/>
      <c r="Q688" s="93"/>
      <c r="S688" s="100"/>
      <c r="T688" s="91"/>
      <c r="U688" s="101"/>
      <c r="V688" s="61"/>
      <c r="W688" s="61"/>
    </row>
    <row r="689" spans="3:23" x14ac:dyDescent="0.25">
      <c r="C689" s="127"/>
      <c r="D689" s="128"/>
      <c r="E689" s="128"/>
      <c r="F689" s="128"/>
      <c r="G689" s="128"/>
      <c r="H689" s="124"/>
      <c r="I689" s="124"/>
      <c r="K689" s="86"/>
      <c r="L689" s="87"/>
      <c r="O689" s="92"/>
      <c r="Q689" s="93"/>
      <c r="S689" s="100"/>
      <c r="T689" s="91"/>
      <c r="U689" s="101"/>
      <c r="V689" s="61"/>
      <c r="W689" s="61"/>
    </row>
    <row r="690" spans="3:23" x14ac:dyDescent="0.25">
      <c r="C690" s="125"/>
      <c r="D690" s="126"/>
      <c r="E690" s="126"/>
      <c r="F690" s="126"/>
      <c r="G690" s="126"/>
      <c r="H690" s="124"/>
      <c r="I690" s="124"/>
      <c r="K690" s="86"/>
      <c r="L690" s="87"/>
      <c r="O690" s="92"/>
      <c r="Q690" s="93"/>
      <c r="S690" s="100"/>
      <c r="T690" s="91"/>
      <c r="U690" s="101"/>
      <c r="V690" s="61"/>
      <c r="W690" s="61"/>
    </row>
    <row r="691" spans="3:23" x14ac:dyDescent="0.25">
      <c r="C691" s="127"/>
      <c r="D691" s="128"/>
      <c r="E691" s="128"/>
      <c r="F691" s="128"/>
      <c r="G691" s="128"/>
      <c r="H691" s="124"/>
      <c r="I691" s="124"/>
      <c r="K691" s="86"/>
      <c r="L691" s="87"/>
      <c r="O691" s="92"/>
      <c r="Q691" s="93"/>
      <c r="S691" s="100"/>
      <c r="T691" s="91"/>
      <c r="U691" s="101"/>
      <c r="V691" s="61"/>
      <c r="W691" s="61"/>
    </row>
    <row r="692" spans="3:23" x14ac:dyDescent="0.25">
      <c r="C692" s="125"/>
      <c r="D692" s="126"/>
      <c r="E692" s="126"/>
      <c r="F692" s="126"/>
      <c r="G692" s="126"/>
      <c r="H692" s="124"/>
      <c r="I692" s="124"/>
      <c r="K692" s="86"/>
      <c r="L692" s="87"/>
      <c r="O692" s="92"/>
      <c r="Q692" s="93"/>
      <c r="S692" s="100"/>
      <c r="T692" s="91"/>
      <c r="U692" s="101"/>
      <c r="V692" s="61"/>
      <c r="W692" s="61"/>
    </row>
    <row r="693" spans="3:23" x14ac:dyDescent="0.25">
      <c r="C693" s="127"/>
      <c r="D693" s="128"/>
      <c r="E693" s="128"/>
      <c r="F693" s="128"/>
      <c r="G693" s="128"/>
      <c r="H693" s="124"/>
      <c r="I693" s="124"/>
      <c r="K693" s="86"/>
      <c r="L693" s="87"/>
      <c r="O693" s="92"/>
      <c r="Q693" s="93"/>
      <c r="S693" s="100"/>
      <c r="T693" s="91"/>
      <c r="U693" s="101"/>
      <c r="V693" s="61"/>
      <c r="W693" s="61"/>
    </row>
    <row r="694" spans="3:23" x14ac:dyDescent="0.25">
      <c r="C694" s="125"/>
      <c r="D694" s="126"/>
      <c r="E694" s="126"/>
      <c r="F694" s="126"/>
      <c r="G694" s="126"/>
      <c r="H694" s="124"/>
      <c r="I694" s="124"/>
      <c r="K694" s="86"/>
      <c r="L694" s="87"/>
      <c r="O694" s="92"/>
      <c r="Q694" s="93"/>
      <c r="S694" s="100"/>
      <c r="T694" s="91"/>
      <c r="U694" s="101"/>
      <c r="V694" s="61"/>
      <c r="W694" s="61"/>
    </row>
    <row r="695" spans="3:23" x14ac:dyDescent="0.25">
      <c r="C695" s="127"/>
      <c r="D695" s="128"/>
      <c r="E695" s="128"/>
      <c r="F695" s="128"/>
      <c r="G695" s="128"/>
      <c r="H695" s="124"/>
      <c r="I695" s="124"/>
      <c r="K695" s="86"/>
      <c r="L695" s="87"/>
      <c r="O695" s="92"/>
      <c r="Q695" s="93"/>
      <c r="S695" s="100"/>
      <c r="T695" s="91"/>
      <c r="U695" s="101"/>
      <c r="V695" s="61"/>
      <c r="W695" s="61"/>
    </row>
    <row r="696" spans="3:23" x14ac:dyDescent="0.25">
      <c r="C696" s="125"/>
      <c r="D696" s="126"/>
      <c r="E696" s="126"/>
      <c r="F696" s="126"/>
      <c r="G696" s="126"/>
      <c r="H696" s="124"/>
      <c r="I696" s="124"/>
      <c r="K696" s="86"/>
      <c r="L696" s="87"/>
      <c r="O696" s="92"/>
      <c r="Q696" s="93"/>
      <c r="S696" s="100"/>
      <c r="T696" s="91"/>
      <c r="U696" s="101"/>
      <c r="V696" s="61"/>
      <c r="W696" s="61"/>
    </row>
    <row r="697" spans="3:23" x14ac:dyDescent="0.25">
      <c r="C697" s="127"/>
      <c r="D697" s="128"/>
      <c r="E697" s="128"/>
      <c r="F697" s="128"/>
      <c r="G697" s="128"/>
      <c r="H697" s="124"/>
      <c r="I697" s="124"/>
      <c r="K697" s="86"/>
      <c r="L697" s="87"/>
      <c r="O697" s="92"/>
      <c r="Q697" s="93"/>
      <c r="S697" s="100"/>
      <c r="T697" s="91"/>
      <c r="U697" s="101"/>
      <c r="V697" s="61"/>
      <c r="W697" s="61"/>
    </row>
    <row r="698" spans="3:23" x14ac:dyDescent="0.25">
      <c r="C698" s="125"/>
      <c r="D698" s="126"/>
      <c r="E698" s="126"/>
      <c r="F698" s="126"/>
      <c r="G698" s="126"/>
      <c r="H698" s="124"/>
      <c r="I698" s="124"/>
      <c r="K698" s="86"/>
      <c r="L698" s="87"/>
      <c r="O698" s="92"/>
      <c r="Q698" s="93"/>
      <c r="S698" s="100"/>
      <c r="T698" s="91"/>
      <c r="U698" s="101"/>
      <c r="V698" s="61"/>
      <c r="W698" s="61"/>
    </row>
    <row r="699" spans="3:23" x14ac:dyDescent="0.25">
      <c r="C699" s="127"/>
      <c r="D699" s="128"/>
      <c r="E699" s="128"/>
      <c r="F699" s="128"/>
      <c r="G699" s="128"/>
      <c r="H699" s="124"/>
      <c r="I699" s="124"/>
      <c r="K699" s="86"/>
      <c r="L699" s="87"/>
      <c r="O699" s="92"/>
      <c r="Q699" s="93"/>
      <c r="S699" s="100"/>
      <c r="T699" s="91"/>
      <c r="U699" s="101"/>
      <c r="V699" s="61"/>
      <c r="W699" s="61"/>
    </row>
    <row r="700" spans="3:23" x14ac:dyDescent="0.25">
      <c r="C700" s="125"/>
      <c r="D700" s="126"/>
      <c r="E700" s="126"/>
      <c r="F700" s="126"/>
      <c r="G700" s="126"/>
      <c r="H700" s="124"/>
      <c r="I700" s="124"/>
      <c r="K700" s="86"/>
      <c r="L700" s="87"/>
      <c r="O700" s="92"/>
      <c r="Q700" s="93"/>
      <c r="S700" s="100"/>
      <c r="T700" s="91"/>
      <c r="U700" s="101"/>
      <c r="V700" s="61"/>
      <c r="W700" s="61"/>
    </row>
    <row r="701" spans="3:23" x14ac:dyDescent="0.25">
      <c r="C701" s="127"/>
      <c r="D701" s="128"/>
      <c r="E701" s="128"/>
      <c r="F701" s="128"/>
      <c r="G701" s="128"/>
      <c r="H701" s="124"/>
      <c r="I701" s="124"/>
      <c r="K701" s="86"/>
      <c r="L701" s="87"/>
      <c r="O701" s="92"/>
      <c r="Q701" s="93"/>
      <c r="S701" s="100"/>
      <c r="T701" s="91"/>
      <c r="U701" s="101"/>
      <c r="V701" s="61"/>
      <c r="W701" s="61"/>
    </row>
    <row r="702" spans="3:23" x14ac:dyDescent="0.25">
      <c r="C702" s="125"/>
      <c r="D702" s="126"/>
      <c r="E702" s="126"/>
      <c r="F702" s="126"/>
      <c r="G702" s="126"/>
      <c r="H702" s="124"/>
      <c r="I702" s="124"/>
      <c r="K702" s="86"/>
      <c r="L702" s="87"/>
      <c r="O702" s="92"/>
      <c r="Q702" s="93"/>
      <c r="S702" s="100"/>
      <c r="T702" s="91"/>
      <c r="U702" s="101"/>
      <c r="V702" s="61"/>
      <c r="W702" s="61"/>
    </row>
    <row r="703" spans="3:23" x14ac:dyDescent="0.25">
      <c r="C703" s="127"/>
      <c r="D703" s="128"/>
      <c r="E703" s="128"/>
      <c r="F703" s="128"/>
      <c r="G703" s="128"/>
      <c r="H703" s="124"/>
      <c r="I703" s="124"/>
      <c r="K703" s="86"/>
      <c r="L703" s="87"/>
      <c r="O703" s="92"/>
      <c r="Q703" s="93"/>
      <c r="S703" s="100"/>
      <c r="T703" s="91"/>
      <c r="U703" s="101"/>
      <c r="V703" s="61"/>
      <c r="W703" s="61"/>
    </row>
    <row r="704" spans="3:23" x14ac:dyDescent="0.25">
      <c r="C704" s="125"/>
      <c r="D704" s="126"/>
      <c r="E704" s="126"/>
      <c r="F704" s="126"/>
      <c r="G704" s="126"/>
      <c r="H704" s="124"/>
      <c r="I704" s="124"/>
      <c r="K704" s="86"/>
      <c r="L704" s="87"/>
      <c r="O704" s="92"/>
      <c r="Q704" s="93"/>
      <c r="S704" s="100"/>
      <c r="T704" s="91"/>
      <c r="U704" s="101"/>
      <c r="V704" s="61"/>
      <c r="W704" s="61"/>
    </row>
    <row r="705" spans="3:23" x14ac:dyDescent="0.25">
      <c r="C705" s="127"/>
      <c r="D705" s="128"/>
      <c r="E705" s="128"/>
      <c r="F705" s="128"/>
      <c r="G705" s="128"/>
      <c r="H705" s="124"/>
      <c r="I705" s="124"/>
      <c r="K705" s="86"/>
      <c r="L705" s="87"/>
      <c r="O705" s="92"/>
      <c r="Q705" s="93"/>
      <c r="S705" s="100"/>
      <c r="T705" s="91"/>
      <c r="U705" s="101"/>
      <c r="V705" s="61"/>
      <c r="W705" s="61"/>
    </row>
    <row r="706" spans="3:23" x14ac:dyDescent="0.25">
      <c r="C706" s="125"/>
      <c r="D706" s="126"/>
      <c r="E706" s="126"/>
      <c r="F706" s="126"/>
      <c r="G706" s="126"/>
      <c r="H706" s="124"/>
      <c r="I706" s="124"/>
      <c r="K706" s="86"/>
      <c r="L706" s="87"/>
      <c r="O706" s="92"/>
      <c r="Q706" s="93"/>
      <c r="S706" s="100"/>
      <c r="T706" s="91"/>
      <c r="U706" s="101"/>
      <c r="V706" s="61"/>
      <c r="W706" s="61"/>
    </row>
    <row r="707" spans="3:23" x14ac:dyDescent="0.25">
      <c r="C707" s="127"/>
      <c r="D707" s="128"/>
      <c r="E707" s="128"/>
      <c r="F707" s="128"/>
      <c r="G707" s="128"/>
      <c r="H707" s="124"/>
      <c r="I707" s="124"/>
      <c r="K707" s="86"/>
      <c r="L707" s="87"/>
      <c r="O707" s="92"/>
      <c r="Q707" s="93"/>
      <c r="S707" s="100"/>
      <c r="T707" s="91"/>
      <c r="U707" s="101"/>
      <c r="V707" s="61"/>
      <c r="W707" s="61"/>
    </row>
    <row r="708" spans="3:23" x14ac:dyDescent="0.25">
      <c r="C708" s="125"/>
      <c r="D708" s="126"/>
      <c r="E708" s="126"/>
      <c r="F708" s="126"/>
      <c r="G708" s="126"/>
      <c r="H708" s="124"/>
      <c r="I708" s="124"/>
      <c r="K708" s="86"/>
      <c r="L708" s="87"/>
      <c r="O708" s="92"/>
      <c r="Q708" s="93"/>
      <c r="S708" s="100"/>
      <c r="T708" s="91"/>
      <c r="U708" s="101"/>
      <c r="V708" s="61"/>
      <c r="W708" s="61"/>
    </row>
    <row r="709" spans="3:23" x14ac:dyDescent="0.25">
      <c r="C709" s="127"/>
      <c r="D709" s="128"/>
      <c r="E709" s="128"/>
      <c r="F709" s="128"/>
      <c r="G709" s="128"/>
      <c r="H709" s="124"/>
      <c r="I709" s="124"/>
      <c r="K709" s="86"/>
      <c r="L709" s="87"/>
      <c r="O709" s="92"/>
      <c r="Q709" s="93"/>
      <c r="S709" s="100"/>
      <c r="T709" s="91"/>
      <c r="U709" s="101"/>
      <c r="V709" s="61"/>
      <c r="W709" s="61"/>
    </row>
    <row r="710" spans="3:23" x14ac:dyDescent="0.25">
      <c r="C710" s="125"/>
      <c r="D710" s="126"/>
      <c r="E710" s="126"/>
      <c r="F710" s="126"/>
      <c r="G710" s="126"/>
      <c r="H710" s="124"/>
      <c r="I710" s="124"/>
      <c r="K710" s="86"/>
      <c r="L710" s="87"/>
      <c r="O710" s="92"/>
      <c r="Q710" s="93"/>
      <c r="S710" s="100"/>
      <c r="T710" s="91"/>
      <c r="U710" s="101"/>
      <c r="V710" s="61"/>
      <c r="W710" s="61"/>
    </row>
    <row r="711" spans="3:23" x14ac:dyDescent="0.25">
      <c r="C711" s="127"/>
      <c r="D711" s="128"/>
      <c r="E711" s="128"/>
      <c r="F711" s="128"/>
      <c r="G711" s="128"/>
      <c r="H711" s="124"/>
      <c r="I711" s="124"/>
      <c r="K711" s="86"/>
      <c r="L711" s="87"/>
      <c r="O711" s="92"/>
      <c r="Q711" s="93"/>
      <c r="S711" s="100"/>
      <c r="T711" s="91"/>
      <c r="U711" s="101"/>
      <c r="V711" s="61"/>
      <c r="W711" s="61"/>
    </row>
    <row r="712" spans="3:23" x14ac:dyDescent="0.25">
      <c r="C712" s="125"/>
      <c r="D712" s="126"/>
      <c r="E712" s="126"/>
      <c r="F712" s="126"/>
      <c r="G712" s="126"/>
      <c r="H712" s="124"/>
      <c r="I712" s="124"/>
      <c r="K712" s="86"/>
      <c r="L712" s="87"/>
      <c r="O712" s="92"/>
      <c r="Q712" s="93"/>
      <c r="S712" s="100"/>
      <c r="T712" s="91"/>
      <c r="U712" s="101"/>
      <c r="V712" s="61"/>
      <c r="W712" s="61"/>
    </row>
    <row r="713" spans="3:23" x14ac:dyDescent="0.25">
      <c r="C713" s="127"/>
      <c r="D713" s="128"/>
      <c r="E713" s="128"/>
      <c r="F713" s="128"/>
      <c r="G713" s="128"/>
      <c r="H713" s="124"/>
      <c r="I713" s="124"/>
      <c r="K713" s="86"/>
      <c r="L713" s="87"/>
      <c r="O713" s="92"/>
      <c r="Q713" s="93"/>
      <c r="S713" s="100"/>
      <c r="T713" s="91"/>
      <c r="U713" s="101"/>
      <c r="V713" s="61"/>
      <c r="W713" s="61"/>
    </row>
    <row r="714" spans="3:23" x14ac:dyDescent="0.25">
      <c r="C714" s="125"/>
      <c r="D714" s="126"/>
      <c r="E714" s="126"/>
      <c r="F714" s="126"/>
      <c r="G714" s="126"/>
      <c r="H714" s="124"/>
      <c r="I714" s="124"/>
      <c r="K714" s="86"/>
      <c r="L714" s="87"/>
      <c r="O714" s="92"/>
      <c r="Q714" s="93"/>
      <c r="S714" s="100"/>
      <c r="T714" s="91"/>
      <c r="U714" s="101"/>
      <c r="V714" s="61"/>
      <c r="W714" s="61"/>
    </row>
    <row r="715" spans="3:23" x14ac:dyDescent="0.25">
      <c r="C715" s="127"/>
      <c r="D715" s="128"/>
      <c r="E715" s="128"/>
      <c r="F715" s="128"/>
      <c r="G715" s="128"/>
      <c r="H715" s="124"/>
      <c r="I715" s="124"/>
      <c r="K715" s="86"/>
      <c r="L715" s="87"/>
      <c r="O715" s="92"/>
      <c r="Q715" s="93"/>
      <c r="S715" s="100"/>
      <c r="T715" s="91"/>
      <c r="U715" s="101"/>
      <c r="V715" s="61"/>
      <c r="W715" s="61"/>
    </row>
    <row r="716" spans="3:23" x14ac:dyDescent="0.25">
      <c r="C716" s="125"/>
      <c r="D716" s="126"/>
      <c r="E716" s="126"/>
      <c r="F716" s="126"/>
      <c r="G716" s="126"/>
      <c r="H716" s="124"/>
      <c r="I716" s="124"/>
      <c r="K716" s="86"/>
      <c r="L716" s="87"/>
      <c r="O716" s="92"/>
      <c r="Q716" s="93"/>
      <c r="S716" s="100"/>
      <c r="T716" s="91"/>
      <c r="U716" s="101"/>
      <c r="V716" s="61"/>
      <c r="W716" s="61"/>
    </row>
    <row r="717" spans="3:23" x14ac:dyDescent="0.25">
      <c r="C717" s="127"/>
      <c r="D717" s="128"/>
      <c r="E717" s="128"/>
      <c r="F717" s="128"/>
      <c r="G717" s="128"/>
      <c r="H717" s="124"/>
      <c r="I717" s="124"/>
      <c r="K717" s="86"/>
      <c r="L717" s="87"/>
      <c r="O717" s="92"/>
      <c r="Q717" s="93"/>
      <c r="S717" s="100"/>
      <c r="T717" s="91"/>
      <c r="U717" s="101"/>
      <c r="V717" s="61"/>
      <c r="W717" s="61"/>
    </row>
    <row r="718" spans="3:23" x14ac:dyDescent="0.25">
      <c r="C718" s="125"/>
      <c r="D718" s="126"/>
      <c r="E718" s="126"/>
      <c r="F718" s="126"/>
      <c r="G718" s="126"/>
      <c r="H718" s="124"/>
      <c r="I718" s="124"/>
      <c r="K718" s="86"/>
      <c r="L718" s="87"/>
      <c r="O718" s="92"/>
      <c r="Q718" s="93"/>
      <c r="S718" s="100"/>
      <c r="T718" s="91"/>
      <c r="U718" s="101"/>
      <c r="V718" s="61"/>
      <c r="W718" s="61"/>
    </row>
    <row r="719" spans="3:23" x14ac:dyDescent="0.25">
      <c r="C719" s="127"/>
      <c r="D719" s="128"/>
      <c r="E719" s="128"/>
      <c r="F719" s="128"/>
      <c r="G719" s="128"/>
      <c r="H719" s="124"/>
      <c r="I719" s="124"/>
      <c r="K719" s="86"/>
      <c r="L719" s="87"/>
      <c r="O719" s="92"/>
      <c r="Q719" s="93"/>
      <c r="S719" s="100"/>
      <c r="T719" s="91"/>
      <c r="U719" s="101"/>
      <c r="V719" s="61"/>
      <c r="W719" s="61"/>
    </row>
    <row r="720" spans="3:23" x14ac:dyDescent="0.25">
      <c r="C720" s="125"/>
      <c r="D720" s="126"/>
      <c r="E720" s="126"/>
      <c r="F720" s="126"/>
      <c r="G720" s="126"/>
      <c r="H720" s="124"/>
      <c r="I720" s="124"/>
      <c r="K720" s="86"/>
      <c r="L720" s="87"/>
      <c r="O720" s="92"/>
      <c r="Q720" s="93"/>
      <c r="S720" s="100"/>
      <c r="T720" s="91"/>
      <c r="U720" s="101"/>
      <c r="V720" s="61"/>
      <c r="W720" s="61"/>
    </row>
    <row r="721" spans="3:23" x14ac:dyDescent="0.25">
      <c r="C721" s="127"/>
      <c r="D721" s="128"/>
      <c r="E721" s="128"/>
      <c r="F721" s="128"/>
      <c r="G721" s="128"/>
      <c r="H721" s="124"/>
      <c r="I721" s="124"/>
      <c r="K721" s="86"/>
      <c r="L721" s="87"/>
      <c r="O721" s="92"/>
      <c r="Q721" s="93"/>
      <c r="S721" s="100"/>
      <c r="T721" s="91"/>
      <c r="U721" s="101"/>
      <c r="V721" s="61"/>
      <c r="W721" s="61"/>
    </row>
    <row r="722" spans="3:23" x14ac:dyDescent="0.25">
      <c r="C722" s="125"/>
      <c r="D722" s="126"/>
      <c r="E722" s="126"/>
      <c r="F722" s="126"/>
      <c r="G722" s="126"/>
      <c r="H722" s="124"/>
      <c r="I722" s="124"/>
      <c r="K722" s="86"/>
      <c r="L722" s="87"/>
      <c r="O722" s="92"/>
      <c r="Q722" s="93"/>
      <c r="S722" s="100"/>
      <c r="T722" s="91"/>
      <c r="U722" s="101"/>
      <c r="V722" s="61"/>
      <c r="W722" s="61"/>
    </row>
    <row r="723" spans="3:23" x14ac:dyDescent="0.25">
      <c r="C723" s="127"/>
      <c r="D723" s="128"/>
      <c r="E723" s="128"/>
      <c r="F723" s="128"/>
      <c r="G723" s="128"/>
      <c r="H723" s="124"/>
      <c r="I723" s="124"/>
      <c r="K723" s="86"/>
      <c r="L723" s="87"/>
      <c r="O723" s="92"/>
      <c r="Q723" s="93"/>
      <c r="S723" s="100"/>
      <c r="T723" s="91"/>
      <c r="U723" s="101"/>
      <c r="V723" s="61"/>
      <c r="W723" s="61"/>
    </row>
    <row r="724" spans="3:23" x14ac:dyDescent="0.25">
      <c r="C724" s="125"/>
      <c r="D724" s="126"/>
      <c r="E724" s="126"/>
      <c r="F724" s="126"/>
      <c r="G724" s="126"/>
      <c r="H724" s="124"/>
      <c r="I724" s="124"/>
      <c r="K724" s="86"/>
      <c r="L724" s="87"/>
      <c r="O724" s="92"/>
      <c r="Q724" s="93"/>
      <c r="S724" s="100"/>
      <c r="T724" s="91"/>
      <c r="U724" s="101"/>
      <c r="V724" s="61"/>
      <c r="W724" s="61"/>
    </row>
    <row r="725" spans="3:23" x14ac:dyDescent="0.25">
      <c r="C725" s="127"/>
      <c r="D725" s="128"/>
      <c r="E725" s="128"/>
      <c r="F725" s="128"/>
      <c r="G725" s="128"/>
      <c r="H725" s="124"/>
      <c r="I725" s="124"/>
      <c r="K725" s="86"/>
      <c r="L725" s="87"/>
      <c r="O725" s="92"/>
      <c r="Q725" s="93"/>
      <c r="S725" s="100"/>
      <c r="T725" s="91"/>
      <c r="U725" s="101"/>
      <c r="V725" s="61"/>
      <c r="W725" s="61"/>
    </row>
    <row r="726" spans="3:23" x14ac:dyDescent="0.25">
      <c r="C726" s="125"/>
      <c r="D726" s="126"/>
      <c r="E726" s="126"/>
      <c r="F726" s="126"/>
      <c r="G726" s="126"/>
      <c r="H726" s="124"/>
      <c r="I726" s="124"/>
      <c r="K726" s="86"/>
      <c r="L726" s="87"/>
      <c r="O726" s="92"/>
      <c r="Q726" s="93"/>
      <c r="S726" s="100"/>
      <c r="T726" s="91"/>
      <c r="U726" s="101"/>
      <c r="V726" s="61"/>
      <c r="W726" s="61"/>
    </row>
    <row r="727" spans="3:23" x14ac:dyDescent="0.25">
      <c r="C727" s="127"/>
      <c r="D727" s="128"/>
      <c r="E727" s="128"/>
      <c r="F727" s="128"/>
      <c r="G727" s="128"/>
      <c r="H727" s="124"/>
      <c r="I727" s="124"/>
      <c r="K727" s="86"/>
      <c r="L727" s="87"/>
      <c r="O727" s="92"/>
      <c r="Q727" s="93"/>
      <c r="S727" s="100"/>
      <c r="T727" s="91"/>
      <c r="U727" s="101"/>
      <c r="V727" s="61"/>
      <c r="W727" s="61"/>
    </row>
    <row r="728" spans="3:23" x14ac:dyDescent="0.25">
      <c r="C728" s="125"/>
      <c r="D728" s="126"/>
      <c r="E728" s="126"/>
      <c r="F728" s="126"/>
      <c r="G728" s="126"/>
      <c r="H728" s="124"/>
      <c r="I728" s="124"/>
      <c r="K728" s="86"/>
      <c r="L728" s="87"/>
      <c r="O728" s="92"/>
      <c r="Q728" s="93"/>
      <c r="S728" s="100"/>
      <c r="T728" s="91"/>
      <c r="U728" s="101"/>
      <c r="V728" s="61"/>
      <c r="W728" s="61"/>
    </row>
    <row r="729" spans="3:23" x14ac:dyDescent="0.25">
      <c r="C729" s="127"/>
      <c r="D729" s="128"/>
      <c r="E729" s="128"/>
      <c r="F729" s="128"/>
      <c r="G729" s="128"/>
      <c r="H729" s="124"/>
      <c r="I729" s="124"/>
      <c r="K729" s="86"/>
      <c r="L729" s="87"/>
      <c r="O729" s="92"/>
      <c r="Q729" s="93"/>
      <c r="S729" s="100"/>
      <c r="T729" s="91"/>
      <c r="U729" s="101"/>
      <c r="V729" s="61"/>
      <c r="W729" s="61"/>
    </row>
    <row r="730" spans="3:23" x14ac:dyDescent="0.25">
      <c r="C730" s="125"/>
      <c r="D730" s="126"/>
      <c r="E730" s="126"/>
      <c r="F730" s="126"/>
      <c r="G730" s="126"/>
      <c r="H730" s="124"/>
      <c r="I730" s="124"/>
      <c r="K730" s="86"/>
      <c r="L730" s="87"/>
      <c r="O730" s="92"/>
      <c r="Q730" s="93"/>
      <c r="S730" s="100"/>
      <c r="T730" s="91"/>
      <c r="U730" s="101"/>
      <c r="V730" s="61"/>
      <c r="W730" s="61"/>
    </row>
    <row r="731" spans="3:23" x14ac:dyDescent="0.25">
      <c r="C731" s="127"/>
      <c r="D731" s="128"/>
      <c r="E731" s="128"/>
      <c r="F731" s="128"/>
      <c r="G731" s="128"/>
      <c r="H731" s="124"/>
      <c r="I731" s="124"/>
      <c r="K731" s="86"/>
      <c r="L731" s="87"/>
      <c r="O731" s="92"/>
      <c r="Q731" s="93"/>
      <c r="S731" s="100"/>
      <c r="T731" s="91"/>
      <c r="U731" s="101"/>
      <c r="V731" s="61"/>
      <c r="W731" s="61"/>
    </row>
    <row r="732" spans="3:23" x14ac:dyDescent="0.25">
      <c r="C732" s="125"/>
      <c r="D732" s="126"/>
      <c r="E732" s="126"/>
      <c r="F732" s="126"/>
      <c r="G732" s="126"/>
      <c r="H732" s="124"/>
      <c r="I732" s="124"/>
      <c r="K732" s="86"/>
      <c r="L732" s="87"/>
      <c r="O732" s="92"/>
      <c r="Q732" s="93"/>
      <c r="S732" s="100"/>
      <c r="T732" s="91"/>
      <c r="U732" s="101"/>
      <c r="V732" s="61"/>
      <c r="W732" s="61"/>
    </row>
    <row r="733" spans="3:23" x14ac:dyDescent="0.25">
      <c r="C733" s="127"/>
      <c r="D733" s="128"/>
      <c r="E733" s="128"/>
      <c r="F733" s="128"/>
      <c r="G733" s="128"/>
      <c r="H733" s="124"/>
      <c r="I733" s="124"/>
      <c r="K733" s="86"/>
      <c r="L733" s="87"/>
      <c r="O733" s="92"/>
      <c r="Q733" s="93"/>
      <c r="S733" s="100"/>
      <c r="T733" s="91"/>
      <c r="U733" s="101"/>
      <c r="V733" s="61"/>
      <c r="W733" s="61"/>
    </row>
    <row r="734" spans="3:23" x14ac:dyDescent="0.25">
      <c r="C734" s="125"/>
      <c r="D734" s="126"/>
      <c r="E734" s="126"/>
      <c r="F734" s="126"/>
      <c r="G734" s="126"/>
      <c r="H734" s="124"/>
      <c r="I734" s="124"/>
      <c r="K734" s="86"/>
      <c r="L734" s="87"/>
      <c r="O734" s="92"/>
      <c r="Q734" s="93"/>
      <c r="S734" s="100"/>
      <c r="T734" s="91"/>
      <c r="U734" s="101"/>
      <c r="V734" s="61"/>
      <c r="W734" s="61"/>
    </row>
    <row r="735" spans="3:23" x14ac:dyDescent="0.25">
      <c r="C735" s="127"/>
      <c r="D735" s="128"/>
      <c r="E735" s="128"/>
      <c r="F735" s="128"/>
      <c r="G735" s="128"/>
      <c r="H735" s="124"/>
      <c r="I735" s="124"/>
      <c r="K735" s="86"/>
      <c r="L735" s="87"/>
      <c r="O735" s="92"/>
      <c r="Q735" s="93"/>
      <c r="S735" s="100"/>
      <c r="T735" s="91"/>
      <c r="U735" s="101"/>
      <c r="V735" s="61"/>
      <c r="W735" s="61"/>
    </row>
    <row r="736" spans="3:23" x14ac:dyDescent="0.25">
      <c r="C736" s="125"/>
      <c r="D736" s="126"/>
      <c r="E736" s="126"/>
      <c r="F736" s="126"/>
      <c r="G736" s="126"/>
      <c r="H736" s="124"/>
      <c r="I736" s="124"/>
      <c r="K736" s="86"/>
      <c r="L736" s="87"/>
      <c r="O736" s="92"/>
      <c r="Q736" s="93"/>
      <c r="S736" s="100"/>
      <c r="T736" s="91"/>
      <c r="U736" s="101"/>
      <c r="V736" s="61"/>
      <c r="W736" s="61"/>
    </row>
    <row r="737" spans="3:23" x14ac:dyDescent="0.25">
      <c r="C737" s="127"/>
      <c r="D737" s="128"/>
      <c r="E737" s="128"/>
      <c r="F737" s="128"/>
      <c r="G737" s="128"/>
      <c r="H737" s="124"/>
      <c r="I737" s="124"/>
      <c r="K737" s="86"/>
      <c r="L737" s="87"/>
      <c r="O737" s="92"/>
      <c r="Q737" s="93"/>
      <c r="S737" s="100"/>
      <c r="T737" s="91"/>
      <c r="U737" s="101"/>
      <c r="V737" s="61"/>
      <c r="W737" s="61"/>
    </row>
    <row r="738" spans="3:23" x14ac:dyDescent="0.25">
      <c r="C738" s="125"/>
      <c r="D738" s="126"/>
      <c r="E738" s="126"/>
      <c r="F738" s="126"/>
      <c r="G738" s="126"/>
      <c r="H738" s="124"/>
      <c r="I738" s="124"/>
      <c r="K738" s="86"/>
      <c r="L738" s="87"/>
      <c r="O738" s="92"/>
      <c r="Q738" s="93"/>
      <c r="S738" s="100"/>
      <c r="T738" s="91"/>
      <c r="U738" s="101"/>
      <c r="V738" s="61"/>
      <c r="W738" s="61"/>
    </row>
    <row r="739" spans="3:23" x14ac:dyDescent="0.25">
      <c r="C739" s="127"/>
      <c r="D739" s="128"/>
      <c r="E739" s="128"/>
      <c r="F739" s="128"/>
      <c r="G739" s="128"/>
      <c r="H739" s="124"/>
      <c r="I739" s="124"/>
      <c r="K739" s="86"/>
      <c r="L739" s="87"/>
      <c r="O739" s="92"/>
      <c r="Q739" s="93"/>
      <c r="S739" s="100"/>
      <c r="T739" s="91"/>
      <c r="U739" s="101"/>
      <c r="V739" s="61"/>
      <c r="W739" s="61"/>
    </row>
    <row r="740" spans="3:23" x14ac:dyDescent="0.25">
      <c r="C740" s="125"/>
      <c r="D740" s="126"/>
      <c r="E740" s="126"/>
      <c r="F740" s="126"/>
      <c r="G740" s="126"/>
      <c r="H740" s="124"/>
      <c r="I740" s="124"/>
      <c r="K740" s="86"/>
      <c r="L740" s="87"/>
      <c r="O740" s="92"/>
      <c r="Q740" s="93"/>
      <c r="S740" s="100"/>
      <c r="T740" s="91"/>
      <c r="U740" s="101"/>
      <c r="V740" s="61"/>
      <c r="W740" s="61"/>
    </row>
    <row r="741" spans="3:23" x14ac:dyDescent="0.25">
      <c r="C741" s="127"/>
      <c r="D741" s="128"/>
      <c r="E741" s="128"/>
      <c r="F741" s="128"/>
      <c r="G741" s="128"/>
      <c r="H741" s="124"/>
      <c r="I741" s="124"/>
      <c r="K741" s="86"/>
      <c r="L741" s="87"/>
      <c r="O741" s="92"/>
      <c r="Q741" s="93"/>
      <c r="S741" s="100"/>
      <c r="T741" s="91"/>
      <c r="U741" s="101"/>
      <c r="V741" s="61"/>
      <c r="W741" s="61"/>
    </row>
    <row r="742" spans="3:23" x14ac:dyDescent="0.25">
      <c r="C742" s="125"/>
      <c r="D742" s="126"/>
      <c r="E742" s="126"/>
      <c r="F742" s="126"/>
      <c r="G742" s="126"/>
      <c r="H742" s="124"/>
      <c r="I742" s="124"/>
      <c r="K742" s="86"/>
      <c r="L742" s="87"/>
      <c r="O742" s="92"/>
      <c r="Q742" s="93"/>
      <c r="S742" s="100"/>
      <c r="T742" s="91"/>
      <c r="U742" s="101"/>
      <c r="V742" s="61"/>
      <c r="W742" s="61"/>
    </row>
    <row r="743" spans="3:23" x14ac:dyDescent="0.25">
      <c r="C743" s="127"/>
      <c r="D743" s="128"/>
      <c r="E743" s="128"/>
      <c r="F743" s="128"/>
      <c r="G743" s="128"/>
      <c r="H743" s="124"/>
      <c r="I743" s="124"/>
      <c r="K743" s="86"/>
      <c r="L743" s="87"/>
      <c r="O743" s="92"/>
      <c r="Q743" s="93"/>
      <c r="S743" s="100"/>
      <c r="T743" s="91"/>
      <c r="U743" s="101"/>
      <c r="V743" s="61"/>
      <c r="W743" s="61"/>
    </row>
    <row r="744" spans="3:23" x14ac:dyDescent="0.25">
      <c r="C744" s="125"/>
      <c r="D744" s="126"/>
      <c r="E744" s="126"/>
      <c r="F744" s="126"/>
      <c r="G744" s="126"/>
      <c r="H744" s="124"/>
      <c r="I744" s="124"/>
      <c r="K744" s="86"/>
      <c r="L744" s="87"/>
      <c r="O744" s="92"/>
      <c r="Q744" s="93"/>
      <c r="S744" s="100"/>
      <c r="T744" s="91"/>
      <c r="U744" s="101"/>
      <c r="V744" s="61"/>
      <c r="W744" s="61"/>
    </row>
    <row r="745" spans="3:23" x14ac:dyDescent="0.25">
      <c r="C745" s="127"/>
      <c r="D745" s="128"/>
      <c r="E745" s="128"/>
      <c r="F745" s="128"/>
      <c r="G745" s="128"/>
      <c r="H745" s="124"/>
      <c r="I745" s="124"/>
      <c r="K745" s="86"/>
      <c r="L745" s="87"/>
      <c r="O745" s="92"/>
      <c r="Q745" s="93"/>
      <c r="S745" s="100"/>
      <c r="T745" s="91"/>
      <c r="U745" s="101"/>
      <c r="V745" s="61"/>
      <c r="W745" s="61"/>
    </row>
    <row r="746" spans="3:23" x14ac:dyDescent="0.25">
      <c r="C746" s="125"/>
      <c r="D746" s="126"/>
      <c r="E746" s="126"/>
      <c r="F746" s="126"/>
      <c r="G746" s="126"/>
      <c r="H746" s="124"/>
      <c r="I746" s="124"/>
      <c r="K746" s="86"/>
      <c r="L746" s="87"/>
      <c r="O746" s="92"/>
      <c r="Q746" s="93"/>
      <c r="S746" s="100"/>
      <c r="T746" s="91"/>
      <c r="U746" s="101"/>
      <c r="V746" s="61"/>
      <c r="W746" s="61"/>
    </row>
    <row r="747" spans="3:23" x14ac:dyDescent="0.25">
      <c r="C747" s="127"/>
      <c r="D747" s="128"/>
      <c r="E747" s="128"/>
      <c r="F747" s="128"/>
      <c r="G747" s="128"/>
      <c r="H747" s="124"/>
      <c r="I747" s="124"/>
      <c r="K747" s="86"/>
      <c r="L747" s="87"/>
      <c r="O747" s="92"/>
      <c r="Q747" s="93"/>
      <c r="S747" s="100"/>
      <c r="T747" s="91"/>
      <c r="U747" s="101"/>
      <c r="V747" s="61"/>
      <c r="W747" s="61"/>
    </row>
    <row r="748" spans="3:23" x14ac:dyDescent="0.25">
      <c r="C748" s="125"/>
      <c r="D748" s="126"/>
      <c r="E748" s="126"/>
      <c r="F748" s="126"/>
      <c r="G748" s="126"/>
      <c r="H748" s="124"/>
      <c r="I748" s="124"/>
      <c r="K748" s="86"/>
      <c r="L748" s="87"/>
      <c r="O748" s="92"/>
      <c r="Q748" s="93"/>
      <c r="S748" s="100"/>
      <c r="T748" s="91"/>
      <c r="U748" s="101"/>
      <c r="V748" s="61"/>
      <c r="W748" s="61"/>
    </row>
    <row r="749" spans="3:23" x14ac:dyDescent="0.25">
      <c r="C749" s="127"/>
      <c r="D749" s="128"/>
      <c r="E749" s="128"/>
      <c r="F749" s="128"/>
      <c r="G749" s="128"/>
      <c r="H749" s="124"/>
      <c r="I749" s="124"/>
      <c r="K749" s="86"/>
      <c r="L749" s="87"/>
      <c r="O749" s="92"/>
      <c r="Q749" s="93"/>
      <c r="S749" s="100"/>
      <c r="T749" s="91"/>
      <c r="U749" s="101"/>
      <c r="V749" s="61"/>
      <c r="W749" s="61"/>
    </row>
    <row r="750" spans="3:23" x14ac:dyDescent="0.25">
      <c r="C750" s="125"/>
      <c r="D750" s="126"/>
      <c r="E750" s="126"/>
      <c r="F750" s="126"/>
      <c r="G750" s="126"/>
      <c r="H750" s="124"/>
      <c r="I750" s="124"/>
      <c r="K750" s="86"/>
      <c r="L750" s="87"/>
      <c r="O750" s="92"/>
      <c r="Q750" s="93"/>
      <c r="S750" s="100"/>
      <c r="T750" s="91"/>
      <c r="U750" s="101"/>
      <c r="V750" s="61"/>
      <c r="W750" s="61"/>
    </row>
    <row r="751" spans="3:23" x14ac:dyDescent="0.25">
      <c r="C751" s="127"/>
      <c r="D751" s="128"/>
      <c r="E751" s="128"/>
      <c r="F751" s="128"/>
      <c r="G751" s="128"/>
      <c r="H751" s="124"/>
      <c r="I751" s="124"/>
      <c r="K751" s="86"/>
      <c r="L751" s="87"/>
      <c r="O751" s="92"/>
      <c r="Q751" s="93"/>
      <c r="S751" s="100"/>
      <c r="T751" s="91"/>
      <c r="U751" s="101"/>
      <c r="V751" s="61"/>
      <c r="W751" s="61"/>
    </row>
    <row r="752" spans="3:23" x14ac:dyDescent="0.25">
      <c r="C752" s="125"/>
      <c r="D752" s="126"/>
      <c r="E752" s="126"/>
      <c r="F752" s="126"/>
      <c r="G752" s="126"/>
      <c r="H752" s="124"/>
      <c r="I752" s="124"/>
      <c r="K752" s="86"/>
      <c r="L752" s="87"/>
      <c r="O752" s="92"/>
      <c r="Q752" s="93"/>
      <c r="S752" s="100"/>
      <c r="T752" s="91"/>
      <c r="U752" s="101"/>
      <c r="V752" s="61"/>
      <c r="W752" s="61"/>
    </row>
    <row r="753" spans="3:23" x14ac:dyDescent="0.25">
      <c r="C753" s="127"/>
      <c r="D753" s="128"/>
      <c r="E753" s="128"/>
      <c r="F753" s="128"/>
      <c r="G753" s="128"/>
      <c r="H753" s="124"/>
      <c r="I753" s="124"/>
      <c r="K753" s="86"/>
      <c r="L753" s="87"/>
      <c r="O753" s="92"/>
      <c r="Q753" s="93"/>
      <c r="S753" s="100"/>
      <c r="T753" s="91"/>
      <c r="U753" s="101"/>
      <c r="V753" s="61"/>
      <c r="W753" s="61"/>
    </row>
    <row r="754" spans="3:23" x14ac:dyDescent="0.25">
      <c r="C754" s="125"/>
      <c r="D754" s="126"/>
      <c r="E754" s="126"/>
      <c r="F754" s="126"/>
      <c r="G754" s="126"/>
      <c r="H754" s="124"/>
      <c r="I754" s="124"/>
      <c r="K754" s="86"/>
      <c r="L754" s="87"/>
      <c r="O754" s="92"/>
      <c r="Q754" s="93"/>
      <c r="S754" s="100"/>
      <c r="T754" s="91"/>
      <c r="U754" s="101"/>
      <c r="V754" s="61"/>
      <c r="W754" s="61"/>
    </row>
    <row r="755" spans="3:23" x14ac:dyDescent="0.25">
      <c r="C755" s="127"/>
      <c r="D755" s="128"/>
      <c r="E755" s="128"/>
      <c r="F755" s="128"/>
      <c r="G755" s="128"/>
      <c r="H755" s="124"/>
      <c r="I755" s="124"/>
      <c r="K755" s="86"/>
      <c r="L755" s="87"/>
      <c r="O755" s="92"/>
      <c r="Q755" s="93"/>
      <c r="S755" s="100"/>
      <c r="T755" s="91"/>
      <c r="U755" s="101"/>
      <c r="V755" s="61"/>
      <c r="W755" s="61"/>
    </row>
    <row r="756" spans="3:23" x14ac:dyDescent="0.25">
      <c r="C756" s="125"/>
      <c r="D756" s="126"/>
      <c r="E756" s="126"/>
      <c r="F756" s="126"/>
      <c r="G756" s="126"/>
      <c r="H756" s="124"/>
      <c r="I756" s="124"/>
      <c r="K756" s="86"/>
      <c r="L756" s="87"/>
      <c r="O756" s="92"/>
      <c r="Q756" s="93"/>
      <c r="S756" s="100"/>
      <c r="T756" s="91"/>
      <c r="U756" s="101"/>
      <c r="V756" s="61"/>
      <c r="W756" s="61"/>
    </row>
    <row r="757" spans="3:23" x14ac:dyDescent="0.25">
      <c r="C757" s="127"/>
      <c r="D757" s="128"/>
      <c r="E757" s="128"/>
      <c r="F757" s="128"/>
      <c r="G757" s="128"/>
      <c r="H757" s="124"/>
      <c r="I757" s="124"/>
      <c r="K757" s="86"/>
      <c r="L757" s="87"/>
      <c r="O757" s="92"/>
      <c r="Q757" s="93"/>
      <c r="S757" s="100"/>
      <c r="T757" s="91"/>
      <c r="U757" s="101"/>
      <c r="V757" s="61"/>
      <c r="W757" s="61"/>
    </row>
    <row r="758" spans="3:23" x14ac:dyDescent="0.25">
      <c r="C758" s="125"/>
      <c r="D758" s="126"/>
      <c r="E758" s="126"/>
      <c r="F758" s="126"/>
      <c r="G758" s="126"/>
      <c r="H758" s="124"/>
      <c r="I758" s="124"/>
      <c r="K758" s="86"/>
      <c r="L758" s="87"/>
      <c r="O758" s="92"/>
      <c r="Q758" s="93"/>
      <c r="S758" s="100"/>
      <c r="T758" s="91"/>
      <c r="U758" s="101"/>
      <c r="V758" s="61"/>
      <c r="W758" s="61"/>
    </row>
    <row r="759" spans="3:23" x14ac:dyDescent="0.25">
      <c r="C759" s="127"/>
      <c r="D759" s="128"/>
      <c r="E759" s="128"/>
      <c r="F759" s="128"/>
      <c r="G759" s="128"/>
      <c r="H759" s="124"/>
      <c r="I759" s="124"/>
      <c r="K759" s="86"/>
      <c r="L759" s="87"/>
      <c r="O759" s="92"/>
      <c r="Q759" s="93"/>
      <c r="S759" s="100"/>
      <c r="T759" s="91"/>
      <c r="U759" s="101"/>
      <c r="V759" s="61"/>
      <c r="W759" s="61"/>
    </row>
    <row r="760" spans="3:23" x14ac:dyDescent="0.25">
      <c r="C760" s="125"/>
      <c r="D760" s="126"/>
      <c r="E760" s="126"/>
      <c r="F760" s="126"/>
      <c r="G760" s="126"/>
      <c r="H760" s="124"/>
      <c r="I760" s="124"/>
      <c r="K760" s="86"/>
      <c r="L760" s="87"/>
      <c r="O760" s="92"/>
      <c r="Q760" s="93"/>
      <c r="S760" s="100"/>
      <c r="T760" s="91"/>
      <c r="U760" s="101"/>
      <c r="V760" s="61"/>
      <c r="W760" s="61"/>
    </row>
    <row r="761" spans="3:23" x14ac:dyDescent="0.25">
      <c r="C761" s="127"/>
      <c r="D761" s="128"/>
      <c r="E761" s="128"/>
      <c r="F761" s="128"/>
      <c r="G761" s="128"/>
      <c r="H761" s="124"/>
      <c r="I761" s="124"/>
      <c r="K761" s="86"/>
      <c r="L761" s="87"/>
      <c r="O761" s="92"/>
      <c r="Q761" s="93"/>
      <c r="S761" s="100"/>
      <c r="T761" s="91"/>
      <c r="U761" s="101"/>
      <c r="V761" s="61"/>
      <c r="W761" s="61"/>
    </row>
    <row r="762" spans="3:23" x14ac:dyDescent="0.25">
      <c r="C762" s="125"/>
      <c r="D762" s="126"/>
      <c r="E762" s="126"/>
      <c r="F762" s="126"/>
      <c r="G762" s="126"/>
      <c r="H762" s="124"/>
      <c r="I762" s="124"/>
      <c r="K762" s="86"/>
      <c r="L762" s="87"/>
      <c r="O762" s="92"/>
      <c r="Q762" s="93"/>
      <c r="S762" s="100"/>
      <c r="T762" s="91"/>
      <c r="U762" s="101"/>
      <c r="V762" s="61"/>
      <c r="W762" s="61"/>
    </row>
    <row r="763" spans="3:23" x14ac:dyDescent="0.25">
      <c r="C763" s="127"/>
      <c r="D763" s="128"/>
      <c r="E763" s="128"/>
      <c r="F763" s="128"/>
      <c r="G763" s="128"/>
      <c r="H763" s="124"/>
      <c r="I763" s="124"/>
      <c r="K763" s="86"/>
      <c r="L763" s="87"/>
      <c r="O763" s="92"/>
      <c r="Q763" s="93"/>
      <c r="S763" s="100"/>
      <c r="T763" s="91"/>
      <c r="U763" s="101"/>
      <c r="V763" s="61"/>
      <c r="W763" s="61"/>
    </row>
    <row r="764" spans="3:23" x14ac:dyDescent="0.25">
      <c r="C764" s="125"/>
      <c r="D764" s="126"/>
      <c r="E764" s="126"/>
      <c r="F764" s="126"/>
      <c r="G764" s="126"/>
      <c r="H764" s="124"/>
      <c r="I764" s="124"/>
      <c r="K764" s="86"/>
      <c r="L764" s="87"/>
      <c r="O764" s="92"/>
      <c r="Q764" s="93"/>
      <c r="S764" s="100"/>
      <c r="T764" s="91"/>
      <c r="U764" s="101"/>
      <c r="V764" s="61"/>
      <c r="W764" s="61"/>
    </row>
    <row r="765" spans="3:23" x14ac:dyDescent="0.25">
      <c r="C765" s="127"/>
      <c r="D765" s="128"/>
      <c r="E765" s="128"/>
      <c r="F765" s="128"/>
      <c r="G765" s="128"/>
      <c r="H765" s="124"/>
      <c r="I765" s="124"/>
      <c r="K765" s="86"/>
      <c r="L765" s="87"/>
      <c r="O765" s="92"/>
      <c r="Q765" s="93"/>
      <c r="S765" s="100"/>
      <c r="T765" s="91"/>
      <c r="U765" s="101"/>
      <c r="V765" s="61"/>
      <c r="W765" s="61"/>
    </row>
    <row r="766" spans="3:23" x14ac:dyDescent="0.25">
      <c r="C766" s="125"/>
      <c r="D766" s="126"/>
      <c r="E766" s="126"/>
      <c r="F766" s="126"/>
      <c r="G766" s="126"/>
      <c r="H766" s="124"/>
      <c r="I766" s="124"/>
      <c r="K766" s="86"/>
      <c r="L766" s="87"/>
      <c r="O766" s="92"/>
      <c r="Q766" s="93"/>
      <c r="S766" s="100"/>
      <c r="T766" s="91"/>
      <c r="U766" s="101"/>
      <c r="V766" s="61"/>
      <c r="W766" s="61"/>
    </row>
    <row r="767" spans="3:23" x14ac:dyDescent="0.25">
      <c r="C767" s="127"/>
      <c r="D767" s="128"/>
      <c r="E767" s="128"/>
      <c r="F767" s="128"/>
      <c r="G767" s="128"/>
      <c r="H767" s="124"/>
      <c r="I767" s="124"/>
      <c r="K767" s="86"/>
      <c r="L767" s="87"/>
      <c r="O767" s="92"/>
      <c r="Q767" s="93"/>
      <c r="S767" s="100"/>
      <c r="T767" s="91"/>
      <c r="U767" s="101"/>
      <c r="V767" s="61"/>
      <c r="W767" s="61"/>
    </row>
    <row r="768" spans="3:23" x14ac:dyDescent="0.25">
      <c r="C768" s="125"/>
      <c r="D768" s="126"/>
      <c r="E768" s="126"/>
      <c r="F768" s="126"/>
      <c r="G768" s="126"/>
      <c r="H768" s="124"/>
      <c r="I768" s="124"/>
      <c r="K768" s="86"/>
      <c r="L768" s="87"/>
      <c r="O768" s="92"/>
      <c r="Q768" s="93"/>
      <c r="S768" s="100"/>
      <c r="T768" s="91"/>
      <c r="U768" s="101"/>
      <c r="V768" s="61"/>
      <c r="W768" s="61"/>
    </row>
    <row r="769" spans="3:23" x14ac:dyDescent="0.25">
      <c r="C769" s="127"/>
      <c r="D769" s="128"/>
      <c r="E769" s="128"/>
      <c r="F769" s="128"/>
      <c r="G769" s="128"/>
      <c r="H769" s="124"/>
      <c r="I769" s="124"/>
      <c r="K769" s="86"/>
      <c r="L769" s="87"/>
      <c r="O769" s="92"/>
      <c r="Q769" s="93"/>
      <c r="S769" s="100"/>
      <c r="T769" s="91"/>
      <c r="U769" s="101"/>
      <c r="V769" s="61"/>
      <c r="W769" s="61"/>
    </row>
    <row r="770" spans="3:23" x14ac:dyDescent="0.25">
      <c r="C770" s="125"/>
      <c r="D770" s="126"/>
      <c r="E770" s="126"/>
      <c r="F770" s="126"/>
      <c r="G770" s="126"/>
      <c r="H770" s="124"/>
      <c r="I770" s="124"/>
      <c r="K770" s="86"/>
      <c r="L770" s="87"/>
      <c r="O770" s="92"/>
      <c r="Q770" s="93"/>
      <c r="S770" s="100"/>
      <c r="T770" s="91"/>
      <c r="U770" s="101"/>
      <c r="V770" s="61"/>
      <c r="W770" s="61"/>
    </row>
    <row r="771" spans="3:23" x14ac:dyDescent="0.25">
      <c r="C771" s="127"/>
      <c r="D771" s="128"/>
      <c r="E771" s="128"/>
      <c r="F771" s="128"/>
      <c r="G771" s="128"/>
      <c r="H771" s="124"/>
      <c r="I771" s="124"/>
      <c r="K771" s="86"/>
      <c r="L771" s="87"/>
      <c r="O771" s="92"/>
      <c r="Q771" s="93"/>
      <c r="S771" s="100"/>
      <c r="T771" s="91"/>
      <c r="U771" s="101"/>
      <c r="V771" s="61"/>
      <c r="W771" s="61"/>
    </row>
    <row r="772" spans="3:23" x14ac:dyDescent="0.25">
      <c r="C772" s="125"/>
      <c r="D772" s="126"/>
      <c r="E772" s="126"/>
      <c r="F772" s="126"/>
      <c r="G772" s="126"/>
      <c r="H772" s="124"/>
      <c r="I772" s="124"/>
      <c r="K772" s="86"/>
      <c r="L772" s="87"/>
      <c r="O772" s="92"/>
      <c r="Q772" s="93"/>
      <c r="S772" s="100"/>
      <c r="T772" s="91"/>
      <c r="U772" s="101"/>
      <c r="V772" s="61"/>
      <c r="W772" s="61"/>
    </row>
    <row r="773" spans="3:23" x14ac:dyDescent="0.25">
      <c r="C773" s="127"/>
      <c r="D773" s="128"/>
      <c r="E773" s="128"/>
      <c r="F773" s="128"/>
      <c r="G773" s="128"/>
      <c r="H773" s="124"/>
      <c r="I773" s="124"/>
      <c r="K773" s="86"/>
      <c r="L773" s="87"/>
      <c r="O773" s="92"/>
      <c r="Q773" s="93"/>
      <c r="S773" s="100"/>
      <c r="T773" s="91"/>
      <c r="U773" s="101"/>
      <c r="V773" s="61"/>
      <c r="W773" s="61"/>
    </row>
    <row r="774" spans="3:23" x14ac:dyDescent="0.25">
      <c r="C774" s="125"/>
      <c r="D774" s="126"/>
      <c r="E774" s="126"/>
      <c r="F774" s="126"/>
      <c r="G774" s="126"/>
      <c r="H774" s="124"/>
      <c r="I774" s="124"/>
      <c r="K774" s="86"/>
      <c r="L774" s="87"/>
      <c r="O774" s="92"/>
      <c r="Q774" s="93"/>
      <c r="S774" s="100"/>
      <c r="T774" s="91"/>
      <c r="U774" s="101"/>
      <c r="V774" s="61"/>
      <c r="W774" s="61"/>
    </row>
    <row r="775" spans="3:23" x14ac:dyDescent="0.25">
      <c r="C775" s="127"/>
      <c r="D775" s="128"/>
      <c r="E775" s="128"/>
      <c r="F775" s="128"/>
      <c r="G775" s="128"/>
      <c r="H775" s="124"/>
      <c r="I775" s="124"/>
      <c r="K775" s="86"/>
      <c r="L775" s="87"/>
      <c r="O775" s="92"/>
      <c r="Q775" s="93"/>
      <c r="S775" s="100"/>
      <c r="T775" s="91"/>
      <c r="U775" s="101"/>
      <c r="V775" s="61"/>
      <c r="W775" s="61"/>
    </row>
    <row r="776" spans="3:23" x14ac:dyDescent="0.25">
      <c r="C776" s="125"/>
      <c r="D776" s="126"/>
      <c r="E776" s="126"/>
      <c r="F776" s="126"/>
      <c r="G776" s="126"/>
      <c r="H776" s="124"/>
      <c r="I776" s="124"/>
      <c r="K776" s="86"/>
      <c r="L776" s="87"/>
      <c r="O776" s="92"/>
      <c r="Q776" s="93"/>
      <c r="S776" s="100"/>
      <c r="T776" s="91"/>
      <c r="U776" s="101"/>
      <c r="V776" s="61"/>
      <c r="W776" s="61"/>
    </row>
    <row r="777" spans="3:23" x14ac:dyDescent="0.25">
      <c r="C777" s="127"/>
      <c r="D777" s="128"/>
      <c r="E777" s="128"/>
      <c r="F777" s="128"/>
      <c r="G777" s="128"/>
      <c r="H777" s="124"/>
      <c r="I777" s="124"/>
      <c r="K777" s="86"/>
      <c r="L777" s="87"/>
      <c r="O777" s="92"/>
      <c r="Q777" s="93"/>
      <c r="S777" s="100"/>
      <c r="T777" s="91"/>
      <c r="U777" s="101"/>
      <c r="V777" s="61"/>
      <c r="W777" s="61"/>
    </row>
    <row r="778" spans="3:23" x14ac:dyDescent="0.25">
      <c r="C778" s="125"/>
      <c r="D778" s="126"/>
      <c r="E778" s="126"/>
      <c r="F778" s="126"/>
      <c r="G778" s="126"/>
      <c r="H778" s="124"/>
      <c r="I778" s="124"/>
      <c r="K778" s="86"/>
      <c r="L778" s="87"/>
      <c r="O778" s="92"/>
      <c r="Q778" s="93"/>
      <c r="S778" s="100"/>
      <c r="T778" s="91"/>
      <c r="U778" s="101"/>
      <c r="V778" s="61"/>
      <c r="W778" s="61"/>
    </row>
    <row r="779" spans="3:23" x14ac:dyDescent="0.25">
      <c r="C779" s="127"/>
      <c r="D779" s="128"/>
      <c r="E779" s="128"/>
      <c r="F779" s="128"/>
      <c r="G779" s="128"/>
      <c r="H779" s="124"/>
      <c r="I779" s="124"/>
      <c r="K779" s="86"/>
      <c r="L779" s="87"/>
      <c r="O779" s="92"/>
      <c r="Q779" s="93"/>
      <c r="S779" s="100"/>
      <c r="T779" s="91"/>
      <c r="U779" s="101"/>
      <c r="V779" s="61"/>
      <c r="W779" s="61"/>
    </row>
    <row r="780" spans="3:23" x14ac:dyDescent="0.25">
      <c r="C780" s="125"/>
      <c r="D780" s="126"/>
      <c r="E780" s="126"/>
      <c r="F780" s="126"/>
      <c r="G780" s="126"/>
      <c r="H780" s="124"/>
      <c r="I780" s="124"/>
      <c r="K780" s="86"/>
      <c r="L780" s="87"/>
      <c r="O780" s="92"/>
      <c r="Q780" s="93"/>
      <c r="S780" s="100"/>
      <c r="T780" s="91"/>
      <c r="U780" s="101"/>
      <c r="V780" s="61"/>
      <c r="W780" s="61"/>
    </row>
    <row r="781" spans="3:23" x14ac:dyDescent="0.25">
      <c r="C781" s="127"/>
      <c r="D781" s="128"/>
      <c r="E781" s="128"/>
      <c r="F781" s="128"/>
      <c r="G781" s="128"/>
      <c r="H781" s="124"/>
      <c r="I781" s="124"/>
      <c r="K781" s="86"/>
      <c r="L781" s="87"/>
      <c r="O781" s="92"/>
      <c r="Q781" s="93"/>
      <c r="S781" s="100"/>
      <c r="T781" s="91"/>
      <c r="U781" s="101"/>
      <c r="V781" s="61"/>
      <c r="W781" s="61"/>
    </row>
    <row r="782" spans="3:23" x14ac:dyDescent="0.25">
      <c r="C782" s="125"/>
      <c r="D782" s="126"/>
      <c r="E782" s="126"/>
      <c r="F782" s="126"/>
      <c r="G782" s="126"/>
      <c r="H782" s="124"/>
      <c r="I782" s="124"/>
      <c r="K782" s="86"/>
      <c r="L782" s="87"/>
      <c r="O782" s="92"/>
      <c r="Q782" s="93"/>
      <c r="S782" s="100"/>
      <c r="T782" s="91"/>
      <c r="U782" s="101"/>
      <c r="V782" s="61"/>
      <c r="W782" s="61"/>
    </row>
    <row r="783" spans="3:23" x14ac:dyDescent="0.25">
      <c r="C783" s="127"/>
      <c r="D783" s="128"/>
      <c r="E783" s="128"/>
      <c r="F783" s="128"/>
      <c r="G783" s="128"/>
      <c r="H783" s="124"/>
      <c r="I783" s="124"/>
      <c r="K783" s="86"/>
      <c r="L783" s="87"/>
      <c r="O783" s="92"/>
      <c r="Q783" s="93"/>
      <c r="S783" s="100"/>
      <c r="T783" s="91"/>
      <c r="U783" s="101"/>
      <c r="V783" s="61"/>
      <c r="W783" s="61"/>
    </row>
    <row r="784" spans="3:23" x14ac:dyDescent="0.25">
      <c r="C784" s="125"/>
      <c r="D784" s="126"/>
      <c r="E784" s="126"/>
      <c r="F784" s="126"/>
      <c r="G784" s="126"/>
      <c r="H784" s="124"/>
      <c r="I784" s="124"/>
      <c r="K784" s="86"/>
      <c r="L784" s="87"/>
      <c r="O784" s="92"/>
      <c r="Q784" s="93"/>
      <c r="S784" s="100"/>
      <c r="T784" s="91"/>
      <c r="U784" s="101"/>
      <c r="V784" s="61"/>
      <c r="W784" s="61"/>
    </row>
    <row r="785" spans="3:23" x14ac:dyDescent="0.25">
      <c r="C785" s="127"/>
      <c r="D785" s="128"/>
      <c r="E785" s="128"/>
      <c r="F785" s="128"/>
      <c r="G785" s="128"/>
      <c r="H785" s="124"/>
      <c r="I785" s="124"/>
      <c r="K785" s="86"/>
      <c r="L785" s="87"/>
      <c r="O785" s="92"/>
      <c r="Q785" s="93"/>
      <c r="S785" s="100"/>
      <c r="T785" s="91"/>
      <c r="U785" s="101"/>
      <c r="V785" s="61"/>
      <c r="W785" s="61"/>
    </row>
    <row r="786" spans="3:23" x14ac:dyDescent="0.25">
      <c r="C786" s="125"/>
      <c r="D786" s="126"/>
      <c r="E786" s="126"/>
      <c r="F786" s="126"/>
      <c r="G786" s="126"/>
      <c r="H786" s="124"/>
      <c r="I786" s="124"/>
      <c r="K786" s="86"/>
      <c r="L786" s="87"/>
      <c r="O786" s="92"/>
      <c r="Q786" s="93"/>
      <c r="S786" s="100"/>
      <c r="T786" s="91"/>
      <c r="U786" s="101"/>
      <c r="V786" s="61"/>
      <c r="W786" s="61"/>
    </row>
    <row r="787" spans="3:23" x14ac:dyDescent="0.25">
      <c r="C787" s="127"/>
      <c r="D787" s="128"/>
      <c r="E787" s="128"/>
      <c r="F787" s="128"/>
      <c r="G787" s="128"/>
      <c r="H787" s="124"/>
      <c r="I787" s="124"/>
      <c r="K787" s="86"/>
      <c r="L787" s="87"/>
      <c r="O787" s="92"/>
      <c r="Q787" s="93"/>
      <c r="S787" s="100"/>
      <c r="T787" s="91"/>
      <c r="U787" s="101"/>
      <c r="V787" s="61"/>
      <c r="W787" s="61"/>
    </row>
    <row r="788" spans="3:23" x14ac:dyDescent="0.25">
      <c r="C788" s="125"/>
      <c r="D788" s="126"/>
      <c r="E788" s="126"/>
      <c r="F788" s="126"/>
      <c r="G788" s="126"/>
      <c r="H788" s="124"/>
      <c r="I788" s="124"/>
      <c r="K788" s="86"/>
      <c r="L788" s="87"/>
      <c r="O788" s="92"/>
      <c r="Q788" s="93"/>
      <c r="S788" s="100"/>
      <c r="T788" s="91"/>
      <c r="U788" s="101"/>
      <c r="V788" s="61"/>
      <c r="W788" s="61"/>
    </row>
    <row r="789" spans="3:23" x14ac:dyDescent="0.25">
      <c r="C789" s="127"/>
      <c r="D789" s="128"/>
      <c r="E789" s="128"/>
      <c r="F789" s="128"/>
      <c r="G789" s="128"/>
      <c r="H789" s="124"/>
      <c r="I789" s="124"/>
      <c r="K789" s="86"/>
      <c r="L789" s="87"/>
      <c r="O789" s="92"/>
      <c r="Q789" s="93"/>
      <c r="S789" s="100"/>
      <c r="T789" s="91"/>
      <c r="U789" s="101"/>
      <c r="V789" s="61"/>
      <c r="W789" s="61"/>
    </row>
    <row r="790" spans="3:23" x14ac:dyDescent="0.25">
      <c r="C790" s="125"/>
      <c r="D790" s="126"/>
      <c r="E790" s="126"/>
      <c r="F790" s="126"/>
      <c r="G790" s="126"/>
      <c r="H790" s="124"/>
      <c r="I790" s="124"/>
      <c r="K790" s="86"/>
      <c r="L790" s="87"/>
      <c r="O790" s="92"/>
      <c r="Q790" s="93"/>
      <c r="S790" s="100"/>
      <c r="T790" s="91"/>
      <c r="U790" s="101"/>
      <c r="V790" s="61"/>
      <c r="W790" s="61"/>
    </row>
    <row r="791" spans="3:23" x14ac:dyDescent="0.25">
      <c r="C791" s="127"/>
      <c r="D791" s="128"/>
      <c r="E791" s="128"/>
      <c r="F791" s="128"/>
      <c r="G791" s="128"/>
      <c r="H791" s="124"/>
      <c r="I791" s="124"/>
      <c r="K791" s="86"/>
      <c r="L791" s="87"/>
      <c r="O791" s="92"/>
      <c r="Q791" s="93"/>
      <c r="S791" s="100"/>
      <c r="T791" s="91"/>
      <c r="U791" s="101"/>
      <c r="V791" s="61"/>
      <c r="W791" s="61"/>
    </row>
    <row r="792" spans="3:23" x14ac:dyDescent="0.25">
      <c r="C792" s="125"/>
      <c r="D792" s="126"/>
      <c r="E792" s="126"/>
      <c r="F792" s="126"/>
      <c r="G792" s="126"/>
      <c r="H792" s="124"/>
      <c r="I792" s="124"/>
      <c r="K792" s="86"/>
      <c r="L792" s="87"/>
      <c r="O792" s="92"/>
      <c r="Q792" s="93"/>
      <c r="S792" s="100"/>
      <c r="T792" s="91"/>
      <c r="U792" s="101"/>
      <c r="V792" s="61"/>
      <c r="W792" s="61"/>
    </row>
    <row r="793" spans="3:23" x14ac:dyDescent="0.25">
      <c r="C793" s="127"/>
      <c r="D793" s="128"/>
      <c r="E793" s="128"/>
      <c r="F793" s="128"/>
      <c r="G793" s="128"/>
      <c r="H793" s="124"/>
      <c r="I793" s="124"/>
      <c r="K793" s="86"/>
      <c r="L793" s="87"/>
      <c r="O793" s="92"/>
      <c r="Q793" s="93"/>
      <c r="S793" s="100"/>
      <c r="T793" s="91"/>
      <c r="U793" s="101"/>
      <c r="V793" s="61"/>
      <c r="W793" s="61"/>
    </row>
    <row r="794" spans="3:23" x14ac:dyDescent="0.25">
      <c r="C794" s="125"/>
      <c r="D794" s="126"/>
      <c r="E794" s="126"/>
      <c r="F794" s="126"/>
      <c r="G794" s="126"/>
      <c r="H794" s="124"/>
      <c r="I794" s="124"/>
      <c r="K794" s="86"/>
      <c r="L794" s="87"/>
      <c r="O794" s="92"/>
      <c r="Q794" s="93"/>
      <c r="S794" s="100"/>
      <c r="T794" s="91"/>
      <c r="U794" s="101"/>
      <c r="V794" s="61"/>
      <c r="W794" s="61"/>
    </row>
    <row r="795" spans="3:23" x14ac:dyDescent="0.25">
      <c r="C795" s="127"/>
      <c r="D795" s="128"/>
      <c r="E795" s="128"/>
      <c r="F795" s="128"/>
      <c r="G795" s="128"/>
      <c r="H795" s="124"/>
      <c r="I795" s="124"/>
      <c r="K795" s="86"/>
      <c r="L795" s="87"/>
      <c r="O795" s="92"/>
      <c r="Q795" s="93"/>
      <c r="S795" s="100"/>
      <c r="T795" s="91"/>
      <c r="U795" s="101"/>
      <c r="V795" s="61"/>
      <c r="W795" s="61"/>
    </row>
    <row r="796" spans="3:23" x14ac:dyDescent="0.25">
      <c r="C796" s="125"/>
      <c r="D796" s="126"/>
      <c r="E796" s="126"/>
      <c r="F796" s="126"/>
      <c r="G796" s="126"/>
      <c r="H796" s="124"/>
      <c r="I796" s="124"/>
      <c r="K796" s="86"/>
      <c r="L796" s="87"/>
      <c r="O796" s="92"/>
      <c r="Q796" s="93"/>
      <c r="S796" s="100"/>
      <c r="T796" s="91"/>
      <c r="U796" s="101"/>
      <c r="V796" s="61"/>
      <c r="W796" s="61"/>
    </row>
    <row r="797" spans="3:23" x14ac:dyDescent="0.25">
      <c r="C797" s="127"/>
      <c r="D797" s="128"/>
      <c r="E797" s="128"/>
      <c r="F797" s="128"/>
      <c r="G797" s="128"/>
      <c r="H797" s="124"/>
      <c r="I797" s="124"/>
      <c r="K797" s="86"/>
      <c r="L797" s="87"/>
      <c r="O797" s="92"/>
      <c r="Q797" s="93"/>
      <c r="S797" s="100"/>
      <c r="T797" s="91"/>
      <c r="U797" s="101"/>
      <c r="V797" s="61"/>
      <c r="W797" s="61"/>
    </row>
    <row r="798" spans="3:23" x14ac:dyDescent="0.25">
      <c r="C798" s="125"/>
      <c r="D798" s="126"/>
      <c r="E798" s="126"/>
      <c r="F798" s="126"/>
      <c r="G798" s="126"/>
      <c r="H798" s="124"/>
      <c r="I798" s="124"/>
      <c r="K798" s="86"/>
      <c r="L798" s="87"/>
      <c r="O798" s="92"/>
      <c r="Q798" s="93"/>
      <c r="S798" s="100"/>
      <c r="T798" s="91"/>
      <c r="U798" s="101"/>
      <c r="V798" s="61"/>
      <c r="W798" s="61"/>
    </row>
    <row r="799" spans="3:23" x14ac:dyDescent="0.25">
      <c r="C799" s="127"/>
      <c r="D799" s="128"/>
      <c r="E799" s="128"/>
      <c r="F799" s="128"/>
      <c r="G799" s="128"/>
      <c r="H799" s="124"/>
      <c r="I799" s="124"/>
      <c r="K799" s="86"/>
      <c r="L799" s="87"/>
      <c r="O799" s="92"/>
      <c r="Q799" s="93"/>
      <c r="S799" s="100"/>
      <c r="T799" s="91"/>
      <c r="U799" s="101"/>
      <c r="V799" s="61"/>
      <c r="W799" s="61"/>
    </row>
    <row r="800" spans="3:23" x14ac:dyDescent="0.25">
      <c r="C800" s="125"/>
      <c r="D800" s="126"/>
      <c r="E800" s="126"/>
      <c r="F800" s="126"/>
      <c r="G800" s="126"/>
      <c r="H800" s="124"/>
      <c r="I800" s="124"/>
      <c r="K800" s="86"/>
      <c r="L800" s="87"/>
      <c r="O800" s="92"/>
      <c r="Q800" s="93"/>
      <c r="S800" s="100"/>
      <c r="T800" s="91"/>
      <c r="U800" s="101"/>
      <c r="V800" s="61"/>
      <c r="W800" s="61"/>
    </row>
    <row r="801" spans="3:23" x14ac:dyDescent="0.25">
      <c r="C801" s="127"/>
      <c r="D801" s="128"/>
      <c r="E801" s="128"/>
      <c r="F801" s="128"/>
      <c r="G801" s="128"/>
      <c r="H801" s="124"/>
      <c r="I801" s="124"/>
      <c r="K801" s="86"/>
      <c r="L801" s="87"/>
      <c r="O801" s="92"/>
      <c r="Q801" s="93"/>
      <c r="S801" s="100"/>
      <c r="T801" s="91"/>
      <c r="U801" s="101"/>
      <c r="V801" s="61"/>
      <c r="W801" s="61"/>
    </row>
    <row r="802" spans="3:23" x14ac:dyDescent="0.25">
      <c r="C802" s="125"/>
      <c r="D802" s="126"/>
      <c r="E802" s="126"/>
      <c r="F802" s="126"/>
      <c r="G802" s="126"/>
      <c r="H802" s="124"/>
      <c r="I802" s="124"/>
      <c r="K802" s="86"/>
      <c r="L802" s="87"/>
      <c r="O802" s="92"/>
      <c r="Q802" s="93"/>
      <c r="S802" s="100"/>
      <c r="T802" s="91"/>
      <c r="U802" s="101"/>
      <c r="V802" s="61"/>
      <c r="W802" s="61"/>
    </row>
    <row r="803" spans="3:23" x14ac:dyDescent="0.25">
      <c r="C803" s="127"/>
      <c r="D803" s="128"/>
      <c r="E803" s="128"/>
      <c r="F803" s="128"/>
      <c r="G803" s="128"/>
      <c r="H803" s="124"/>
      <c r="I803" s="124"/>
      <c r="K803" s="86"/>
      <c r="L803" s="87"/>
      <c r="O803" s="92"/>
      <c r="Q803" s="93"/>
      <c r="S803" s="100"/>
      <c r="T803" s="91"/>
      <c r="U803" s="101"/>
      <c r="V803" s="61"/>
      <c r="W803" s="61"/>
    </row>
    <row r="804" spans="3:23" x14ac:dyDescent="0.25">
      <c r="C804" s="125"/>
      <c r="D804" s="126"/>
      <c r="E804" s="126"/>
      <c r="F804" s="126"/>
      <c r="G804" s="126"/>
      <c r="H804" s="124"/>
      <c r="I804" s="124"/>
      <c r="K804" s="86"/>
      <c r="L804" s="87"/>
      <c r="O804" s="92"/>
      <c r="Q804" s="93"/>
      <c r="S804" s="100"/>
      <c r="T804" s="91"/>
      <c r="U804" s="101"/>
      <c r="V804" s="61"/>
      <c r="W804" s="61"/>
    </row>
    <row r="805" spans="3:23" x14ac:dyDescent="0.25">
      <c r="C805" s="127"/>
      <c r="D805" s="128"/>
      <c r="E805" s="128"/>
      <c r="F805" s="128"/>
      <c r="G805" s="128"/>
      <c r="H805" s="124"/>
      <c r="I805" s="124"/>
      <c r="K805" s="86"/>
      <c r="L805" s="87"/>
      <c r="O805" s="92"/>
      <c r="Q805" s="93"/>
      <c r="S805" s="100"/>
      <c r="T805" s="91"/>
      <c r="U805" s="101"/>
      <c r="V805" s="61"/>
      <c r="W805" s="61"/>
    </row>
    <row r="806" spans="3:23" x14ac:dyDescent="0.25">
      <c r="C806" s="125"/>
      <c r="D806" s="126"/>
      <c r="E806" s="126"/>
      <c r="F806" s="126"/>
      <c r="G806" s="126"/>
      <c r="H806" s="124"/>
      <c r="I806" s="124"/>
      <c r="K806" s="86"/>
      <c r="L806" s="87"/>
      <c r="O806" s="92"/>
      <c r="Q806" s="93"/>
      <c r="S806" s="100"/>
      <c r="T806" s="91"/>
      <c r="U806" s="101"/>
      <c r="V806" s="61"/>
      <c r="W806" s="61"/>
    </row>
    <row r="807" spans="3:23" x14ac:dyDescent="0.25">
      <c r="C807" s="127"/>
      <c r="D807" s="128"/>
      <c r="E807" s="128"/>
      <c r="F807" s="128"/>
      <c r="G807" s="128"/>
      <c r="H807" s="124"/>
      <c r="I807" s="124"/>
      <c r="K807" s="86"/>
      <c r="L807" s="87"/>
      <c r="O807" s="92"/>
      <c r="Q807" s="93"/>
      <c r="S807" s="100"/>
      <c r="T807" s="91"/>
      <c r="U807" s="101"/>
      <c r="V807" s="61"/>
      <c r="W807" s="61"/>
    </row>
    <row r="808" spans="3:23" x14ac:dyDescent="0.25">
      <c r="C808" s="125"/>
      <c r="D808" s="126"/>
      <c r="E808" s="126"/>
      <c r="F808" s="126"/>
      <c r="G808" s="126"/>
      <c r="H808" s="124"/>
      <c r="I808" s="124"/>
      <c r="K808" s="86"/>
      <c r="L808" s="87"/>
      <c r="O808" s="92"/>
      <c r="Q808" s="93"/>
      <c r="S808" s="100"/>
      <c r="T808" s="91"/>
      <c r="U808" s="101"/>
      <c r="V808" s="61"/>
      <c r="W808" s="61"/>
    </row>
    <row r="809" spans="3:23" x14ac:dyDescent="0.25">
      <c r="C809" s="127"/>
      <c r="D809" s="128"/>
      <c r="E809" s="128"/>
      <c r="F809" s="128"/>
      <c r="G809" s="128"/>
      <c r="H809" s="124"/>
      <c r="I809" s="124"/>
      <c r="K809" s="86"/>
      <c r="L809" s="87"/>
      <c r="O809" s="92"/>
      <c r="Q809" s="93"/>
      <c r="S809" s="100"/>
      <c r="T809" s="91"/>
      <c r="U809" s="101"/>
      <c r="V809" s="61"/>
      <c r="W809" s="61"/>
    </row>
    <row r="810" spans="3:23" x14ac:dyDescent="0.25">
      <c r="C810" s="125"/>
      <c r="D810" s="126"/>
      <c r="E810" s="126"/>
      <c r="F810" s="126"/>
      <c r="G810" s="126"/>
      <c r="H810" s="124"/>
      <c r="I810" s="124"/>
      <c r="K810" s="86"/>
      <c r="L810" s="87"/>
      <c r="O810" s="92"/>
      <c r="Q810" s="93"/>
      <c r="S810" s="100"/>
      <c r="T810" s="91"/>
      <c r="U810" s="101"/>
      <c r="V810" s="61"/>
      <c r="W810" s="61"/>
    </row>
    <row r="811" spans="3:23" x14ac:dyDescent="0.25">
      <c r="C811" s="127"/>
      <c r="D811" s="128"/>
      <c r="E811" s="128"/>
      <c r="F811" s="128"/>
      <c r="G811" s="128"/>
      <c r="H811" s="124"/>
      <c r="I811" s="124"/>
      <c r="K811" s="86"/>
      <c r="L811" s="87"/>
      <c r="O811" s="92"/>
      <c r="Q811" s="93"/>
      <c r="S811" s="100"/>
      <c r="T811" s="91"/>
      <c r="U811" s="101"/>
      <c r="V811" s="61"/>
      <c r="W811" s="61"/>
    </row>
    <row r="812" spans="3:23" x14ac:dyDescent="0.25">
      <c r="C812" s="125"/>
      <c r="D812" s="126"/>
      <c r="E812" s="126"/>
      <c r="F812" s="126"/>
      <c r="G812" s="126"/>
      <c r="H812" s="124"/>
      <c r="I812" s="124"/>
      <c r="K812" s="86"/>
      <c r="L812" s="87"/>
      <c r="O812" s="92"/>
      <c r="Q812" s="93"/>
      <c r="S812" s="100"/>
      <c r="T812" s="91"/>
      <c r="U812" s="101"/>
      <c r="V812" s="61"/>
      <c r="W812" s="61"/>
    </row>
    <row r="813" spans="3:23" x14ac:dyDescent="0.25">
      <c r="C813" s="127"/>
      <c r="D813" s="128"/>
      <c r="E813" s="128"/>
      <c r="F813" s="128"/>
      <c r="G813" s="128"/>
      <c r="H813" s="124"/>
      <c r="I813" s="124"/>
      <c r="K813" s="86"/>
      <c r="L813" s="87"/>
      <c r="O813" s="92"/>
      <c r="Q813" s="93"/>
      <c r="S813" s="100"/>
      <c r="T813" s="91"/>
      <c r="U813" s="101"/>
      <c r="V813" s="61"/>
      <c r="W813" s="61"/>
    </row>
    <row r="814" spans="3:23" x14ac:dyDescent="0.25">
      <c r="C814" s="125"/>
      <c r="D814" s="126"/>
      <c r="E814" s="126"/>
      <c r="F814" s="126"/>
      <c r="G814" s="126"/>
      <c r="H814" s="124"/>
      <c r="I814" s="124"/>
      <c r="K814" s="86"/>
      <c r="L814" s="87"/>
      <c r="O814" s="92"/>
      <c r="Q814" s="93"/>
      <c r="S814" s="100"/>
      <c r="T814" s="91"/>
      <c r="U814" s="101"/>
      <c r="V814" s="61"/>
      <c r="W814" s="61"/>
    </row>
    <row r="815" spans="3:23" x14ac:dyDescent="0.25">
      <c r="C815" s="127"/>
      <c r="D815" s="128"/>
      <c r="E815" s="128"/>
      <c r="F815" s="128"/>
      <c r="G815" s="128"/>
      <c r="H815" s="124"/>
      <c r="I815" s="124"/>
      <c r="K815" s="86"/>
      <c r="L815" s="87"/>
      <c r="O815" s="92"/>
      <c r="Q815" s="93"/>
      <c r="S815" s="100"/>
      <c r="T815" s="91"/>
      <c r="U815" s="101"/>
      <c r="V815" s="61"/>
      <c r="W815" s="61"/>
    </row>
    <row r="816" spans="3:23" x14ac:dyDescent="0.25">
      <c r="C816" s="125"/>
      <c r="D816" s="126"/>
      <c r="E816" s="126"/>
      <c r="F816" s="126"/>
      <c r="G816" s="126"/>
      <c r="H816" s="124"/>
      <c r="I816" s="124"/>
      <c r="K816" s="86"/>
      <c r="L816" s="87"/>
      <c r="O816" s="92"/>
      <c r="Q816" s="93"/>
      <c r="S816" s="100"/>
      <c r="T816" s="91"/>
      <c r="U816" s="101"/>
      <c r="V816" s="61"/>
      <c r="W816" s="61"/>
    </row>
    <row r="817" spans="3:23" x14ac:dyDescent="0.25">
      <c r="C817" s="127"/>
      <c r="D817" s="128"/>
      <c r="E817" s="128"/>
      <c r="F817" s="128"/>
      <c r="G817" s="128"/>
      <c r="H817" s="124"/>
      <c r="I817" s="124"/>
      <c r="K817" s="86"/>
      <c r="L817" s="87"/>
      <c r="O817" s="92"/>
      <c r="Q817" s="93"/>
      <c r="S817" s="100"/>
      <c r="T817" s="91"/>
      <c r="U817" s="101"/>
      <c r="V817" s="61"/>
      <c r="W817" s="61"/>
    </row>
    <row r="818" spans="3:23" x14ac:dyDescent="0.25">
      <c r="C818" s="125"/>
      <c r="D818" s="126"/>
      <c r="E818" s="126"/>
      <c r="F818" s="126"/>
      <c r="G818" s="126"/>
      <c r="H818" s="124"/>
      <c r="I818" s="124"/>
      <c r="K818" s="86"/>
      <c r="L818" s="87"/>
      <c r="O818" s="92"/>
      <c r="Q818" s="93"/>
      <c r="S818" s="100"/>
      <c r="T818" s="91"/>
      <c r="U818" s="101"/>
      <c r="V818" s="61"/>
      <c r="W818" s="61"/>
    </row>
    <row r="819" spans="3:23" x14ac:dyDescent="0.25">
      <c r="C819" s="127"/>
      <c r="D819" s="128"/>
      <c r="E819" s="128"/>
      <c r="F819" s="128"/>
      <c r="G819" s="128"/>
      <c r="H819" s="124"/>
      <c r="I819" s="124"/>
      <c r="K819" s="86"/>
      <c r="L819" s="87"/>
      <c r="O819" s="92"/>
      <c r="Q819" s="93"/>
      <c r="S819" s="100"/>
      <c r="T819" s="91"/>
      <c r="U819" s="101"/>
      <c r="V819" s="61"/>
      <c r="W819" s="61"/>
    </row>
    <row r="820" spans="3:23" x14ac:dyDescent="0.25">
      <c r="C820" s="125"/>
      <c r="D820" s="126"/>
      <c r="E820" s="126"/>
      <c r="F820" s="126"/>
      <c r="G820" s="126"/>
      <c r="H820" s="124"/>
      <c r="I820" s="124"/>
      <c r="K820" s="86"/>
      <c r="L820" s="87"/>
      <c r="O820" s="92"/>
      <c r="Q820" s="93"/>
      <c r="S820" s="100"/>
      <c r="T820" s="91"/>
      <c r="U820" s="101"/>
      <c r="V820" s="61"/>
      <c r="W820" s="61"/>
    </row>
    <row r="821" spans="3:23" x14ac:dyDescent="0.25">
      <c r="C821" s="127"/>
      <c r="D821" s="128"/>
      <c r="E821" s="128"/>
      <c r="F821" s="128"/>
      <c r="G821" s="128"/>
      <c r="H821" s="124"/>
      <c r="I821" s="124"/>
      <c r="K821" s="86"/>
      <c r="L821" s="87"/>
      <c r="O821" s="92"/>
      <c r="Q821" s="93"/>
      <c r="S821" s="100"/>
      <c r="T821" s="91"/>
      <c r="U821" s="101"/>
      <c r="V821" s="61"/>
      <c r="W821" s="61"/>
    </row>
    <row r="822" spans="3:23" x14ac:dyDescent="0.25">
      <c r="C822" s="125"/>
      <c r="D822" s="126"/>
      <c r="E822" s="126"/>
      <c r="F822" s="126"/>
      <c r="G822" s="126"/>
      <c r="H822" s="124"/>
      <c r="I822" s="124"/>
      <c r="K822" s="86"/>
      <c r="L822" s="87"/>
      <c r="O822" s="92"/>
      <c r="Q822" s="93"/>
      <c r="S822" s="100"/>
      <c r="T822" s="91"/>
      <c r="U822" s="101"/>
      <c r="V822" s="61"/>
      <c r="W822" s="61"/>
    </row>
    <row r="823" spans="3:23" x14ac:dyDescent="0.25">
      <c r="C823" s="127"/>
      <c r="D823" s="128"/>
      <c r="E823" s="128"/>
      <c r="F823" s="128"/>
      <c r="G823" s="128"/>
      <c r="H823" s="124"/>
      <c r="I823" s="124"/>
      <c r="K823" s="86"/>
      <c r="L823" s="87"/>
      <c r="O823" s="92"/>
      <c r="Q823" s="93"/>
      <c r="S823" s="100"/>
      <c r="T823" s="91"/>
      <c r="U823" s="101"/>
      <c r="V823" s="61"/>
      <c r="W823" s="61"/>
    </row>
    <row r="824" spans="3:23" x14ac:dyDescent="0.25">
      <c r="C824" s="125"/>
      <c r="D824" s="126"/>
      <c r="E824" s="126"/>
      <c r="F824" s="126"/>
      <c r="G824" s="126"/>
      <c r="H824" s="124"/>
      <c r="I824" s="124"/>
      <c r="K824" s="86"/>
      <c r="L824" s="87"/>
      <c r="O824" s="92"/>
      <c r="Q824" s="93"/>
      <c r="S824" s="100"/>
      <c r="T824" s="91"/>
      <c r="U824" s="101"/>
      <c r="V824" s="61"/>
      <c r="W824" s="61"/>
    </row>
    <row r="825" spans="3:23" x14ac:dyDescent="0.25">
      <c r="C825" s="127"/>
      <c r="D825" s="128"/>
      <c r="E825" s="128"/>
      <c r="F825" s="128"/>
      <c r="G825" s="128"/>
      <c r="H825" s="124"/>
      <c r="I825" s="124"/>
      <c r="K825" s="86"/>
      <c r="L825" s="87"/>
      <c r="O825" s="92"/>
      <c r="Q825" s="93"/>
      <c r="S825" s="100"/>
      <c r="T825" s="91"/>
      <c r="U825" s="101"/>
      <c r="V825" s="61"/>
      <c r="W825" s="61"/>
    </row>
    <row r="826" spans="3:23" x14ac:dyDescent="0.25">
      <c r="C826" s="125"/>
      <c r="D826" s="126"/>
      <c r="E826" s="126"/>
      <c r="F826" s="126"/>
      <c r="G826" s="126"/>
      <c r="H826" s="124"/>
      <c r="I826" s="124"/>
      <c r="K826" s="86"/>
      <c r="L826" s="87"/>
      <c r="O826" s="92"/>
      <c r="Q826" s="93"/>
      <c r="S826" s="100"/>
      <c r="T826" s="91"/>
      <c r="U826" s="101"/>
      <c r="V826" s="61"/>
      <c r="W826" s="61"/>
    </row>
    <row r="827" spans="3:23" x14ac:dyDescent="0.25">
      <c r="C827" s="127"/>
      <c r="D827" s="128"/>
      <c r="E827" s="128"/>
      <c r="F827" s="128"/>
      <c r="G827" s="128"/>
      <c r="H827" s="124"/>
      <c r="I827" s="124"/>
      <c r="K827" s="86"/>
      <c r="L827" s="87"/>
      <c r="O827" s="92"/>
      <c r="Q827" s="93"/>
      <c r="S827" s="100"/>
      <c r="T827" s="91"/>
      <c r="U827" s="101"/>
      <c r="V827" s="61"/>
      <c r="W827" s="61"/>
    </row>
    <row r="828" spans="3:23" x14ac:dyDescent="0.25">
      <c r="C828" s="125"/>
      <c r="D828" s="126"/>
      <c r="E828" s="126"/>
      <c r="F828" s="126"/>
      <c r="G828" s="126"/>
      <c r="H828" s="124"/>
      <c r="I828" s="124"/>
      <c r="K828" s="86"/>
      <c r="L828" s="87"/>
      <c r="O828" s="92"/>
      <c r="Q828" s="93"/>
      <c r="S828" s="100"/>
      <c r="T828" s="91"/>
      <c r="U828" s="101"/>
      <c r="V828" s="61"/>
      <c r="W828" s="61"/>
    </row>
    <row r="829" spans="3:23" x14ac:dyDescent="0.25">
      <c r="C829" s="127"/>
      <c r="D829" s="128"/>
      <c r="E829" s="128"/>
      <c r="F829" s="128"/>
      <c r="G829" s="128"/>
      <c r="H829" s="124"/>
      <c r="I829" s="124"/>
      <c r="K829" s="86"/>
      <c r="L829" s="87"/>
      <c r="O829" s="92"/>
      <c r="Q829" s="93"/>
      <c r="S829" s="100"/>
      <c r="T829" s="91"/>
      <c r="U829" s="101"/>
      <c r="V829" s="61"/>
      <c r="W829" s="61"/>
    </row>
    <row r="830" spans="3:23" x14ac:dyDescent="0.25">
      <c r="C830" s="125"/>
      <c r="D830" s="126"/>
      <c r="E830" s="126"/>
      <c r="F830" s="126"/>
      <c r="G830" s="126"/>
      <c r="H830" s="124"/>
      <c r="I830" s="124"/>
      <c r="K830" s="86"/>
      <c r="L830" s="87"/>
      <c r="O830" s="92"/>
      <c r="Q830" s="93"/>
      <c r="S830" s="100"/>
      <c r="T830" s="91"/>
      <c r="U830" s="101"/>
      <c r="V830" s="61"/>
      <c r="W830" s="61"/>
    </row>
    <row r="831" spans="3:23" x14ac:dyDescent="0.25">
      <c r="C831" s="127"/>
      <c r="D831" s="128"/>
      <c r="E831" s="128"/>
      <c r="F831" s="128"/>
      <c r="G831" s="128"/>
      <c r="H831" s="124"/>
      <c r="I831" s="124"/>
      <c r="K831" s="86"/>
      <c r="L831" s="87"/>
      <c r="O831" s="92"/>
      <c r="Q831" s="93"/>
      <c r="S831" s="100"/>
      <c r="T831" s="91"/>
      <c r="U831" s="101"/>
      <c r="V831" s="61"/>
      <c r="W831" s="61"/>
    </row>
    <row r="832" spans="3:23" x14ac:dyDescent="0.25">
      <c r="C832" s="125"/>
      <c r="D832" s="126"/>
      <c r="E832" s="126"/>
      <c r="F832" s="126"/>
      <c r="G832" s="126"/>
      <c r="H832" s="124"/>
      <c r="I832" s="124"/>
      <c r="K832" s="86"/>
      <c r="L832" s="87"/>
      <c r="O832" s="92"/>
      <c r="Q832" s="93"/>
      <c r="S832" s="100"/>
      <c r="T832" s="91"/>
      <c r="U832" s="101"/>
      <c r="V832" s="61"/>
      <c r="W832" s="61"/>
    </row>
    <row r="833" spans="3:23" x14ac:dyDescent="0.25">
      <c r="C833" s="127"/>
      <c r="D833" s="128"/>
      <c r="E833" s="128"/>
      <c r="F833" s="128"/>
      <c r="G833" s="128"/>
      <c r="H833" s="124"/>
      <c r="I833" s="124"/>
      <c r="K833" s="86"/>
      <c r="L833" s="87"/>
      <c r="O833" s="92"/>
      <c r="Q833" s="93"/>
      <c r="S833" s="100"/>
      <c r="T833" s="91"/>
      <c r="U833" s="101"/>
      <c r="V833" s="61"/>
      <c r="W833" s="61"/>
    </row>
    <row r="834" spans="3:23" x14ac:dyDescent="0.25">
      <c r="C834" s="125"/>
      <c r="D834" s="126"/>
      <c r="E834" s="126"/>
      <c r="F834" s="126"/>
      <c r="G834" s="126"/>
      <c r="H834" s="124"/>
      <c r="I834" s="124"/>
      <c r="K834" s="86"/>
      <c r="L834" s="87"/>
      <c r="O834" s="92"/>
      <c r="Q834" s="93"/>
      <c r="S834" s="100"/>
      <c r="T834" s="91"/>
      <c r="U834" s="101"/>
      <c r="V834" s="61"/>
      <c r="W834" s="61"/>
    </row>
    <row r="835" spans="3:23" x14ac:dyDescent="0.25">
      <c r="C835" s="127"/>
      <c r="D835" s="128"/>
      <c r="E835" s="128"/>
      <c r="F835" s="128"/>
      <c r="G835" s="128"/>
      <c r="H835" s="124"/>
      <c r="I835" s="124"/>
      <c r="K835" s="86"/>
      <c r="L835" s="87"/>
      <c r="O835" s="92"/>
      <c r="Q835" s="93"/>
      <c r="S835" s="100"/>
      <c r="T835" s="91"/>
      <c r="U835" s="101"/>
      <c r="V835" s="61"/>
      <c r="W835" s="61"/>
    </row>
    <row r="836" spans="3:23" x14ac:dyDescent="0.25">
      <c r="C836" s="125"/>
      <c r="D836" s="126"/>
      <c r="E836" s="126"/>
      <c r="F836" s="126"/>
      <c r="G836" s="126"/>
      <c r="H836" s="124"/>
      <c r="I836" s="124"/>
      <c r="K836" s="86"/>
      <c r="L836" s="87"/>
      <c r="O836" s="92"/>
      <c r="Q836" s="93"/>
      <c r="S836" s="100"/>
      <c r="T836" s="91"/>
      <c r="U836" s="101"/>
      <c r="V836" s="61"/>
      <c r="W836" s="61"/>
    </row>
    <row r="837" spans="3:23" x14ac:dyDescent="0.25">
      <c r="C837" s="127"/>
      <c r="D837" s="128"/>
      <c r="E837" s="128"/>
      <c r="F837" s="128"/>
      <c r="G837" s="128"/>
      <c r="H837" s="124"/>
      <c r="I837" s="124"/>
      <c r="K837" s="86"/>
      <c r="L837" s="87"/>
      <c r="O837" s="92"/>
      <c r="Q837" s="93"/>
      <c r="S837" s="100"/>
      <c r="T837" s="91"/>
      <c r="U837" s="101"/>
      <c r="V837" s="61"/>
      <c r="W837" s="61"/>
    </row>
    <row r="838" spans="3:23" x14ac:dyDescent="0.25">
      <c r="C838" s="125"/>
      <c r="D838" s="126"/>
      <c r="E838" s="126"/>
      <c r="F838" s="126"/>
      <c r="G838" s="126"/>
      <c r="H838" s="124"/>
      <c r="I838" s="124"/>
      <c r="K838" s="86"/>
      <c r="L838" s="87"/>
      <c r="O838" s="92"/>
      <c r="Q838" s="93"/>
      <c r="S838" s="100"/>
      <c r="T838" s="91"/>
      <c r="U838" s="101"/>
      <c r="V838" s="61"/>
      <c r="W838" s="61"/>
    </row>
    <row r="839" spans="3:23" x14ac:dyDescent="0.25">
      <c r="C839" s="127"/>
      <c r="D839" s="128"/>
      <c r="E839" s="128"/>
      <c r="F839" s="128"/>
      <c r="G839" s="128"/>
      <c r="H839" s="124"/>
      <c r="I839" s="124"/>
      <c r="K839" s="86"/>
      <c r="L839" s="87"/>
      <c r="O839" s="92"/>
      <c r="Q839" s="93"/>
      <c r="S839" s="100"/>
      <c r="T839" s="91"/>
      <c r="U839" s="101"/>
      <c r="V839" s="61"/>
      <c r="W839" s="61"/>
    </row>
    <row r="840" spans="3:23" x14ac:dyDescent="0.25">
      <c r="C840" s="125"/>
      <c r="D840" s="126"/>
      <c r="E840" s="126"/>
      <c r="F840" s="126"/>
      <c r="G840" s="126"/>
      <c r="H840" s="124"/>
      <c r="I840" s="124"/>
      <c r="K840" s="86"/>
      <c r="L840" s="87"/>
      <c r="O840" s="92"/>
      <c r="Q840" s="93"/>
      <c r="S840" s="100"/>
      <c r="T840" s="91"/>
      <c r="U840" s="101"/>
      <c r="V840" s="61"/>
      <c r="W840" s="61"/>
    </row>
    <row r="841" spans="3:23" x14ac:dyDescent="0.25">
      <c r="C841" s="127"/>
      <c r="D841" s="128"/>
      <c r="E841" s="128"/>
      <c r="F841" s="128"/>
      <c r="G841" s="128"/>
      <c r="H841" s="124"/>
      <c r="I841" s="124"/>
      <c r="K841" s="86"/>
      <c r="L841" s="87"/>
      <c r="O841" s="92"/>
      <c r="Q841" s="93"/>
      <c r="S841" s="100"/>
      <c r="T841" s="91"/>
      <c r="U841" s="101"/>
      <c r="V841" s="61"/>
      <c r="W841" s="61"/>
    </row>
    <row r="842" spans="3:23" x14ac:dyDescent="0.25">
      <c r="C842" s="125"/>
      <c r="D842" s="126"/>
      <c r="E842" s="126"/>
      <c r="F842" s="126"/>
      <c r="G842" s="126"/>
      <c r="H842" s="124"/>
      <c r="I842" s="124"/>
      <c r="K842" s="86"/>
      <c r="L842" s="87"/>
      <c r="O842" s="92"/>
      <c r="Q842" s="93"/>
      <c r="S842" s="100"/>
      <c r="T842" s="91"/>
      <c r="U842" s="101"/>
      <c r="V842" s="61"/>
      <c r="W842" s="61"/>
    </row>
    <row r="843" spans="3:23" x14ac:dyDescent="0.25">
      <c r="C843" s="127"/>
      <c r="D843" s="128"/>
      <c r="E843" s="128"/>
      <c r="F843" s="128"/>
      <c r="G843" s="128"/>
      <c r="H843" s="124"/>
      <c r="I843" s="124"/>
      <c r="K843" s="86"/>
      <c r="L843" s="87"/>
      <c r="O843" s="92"/>
      <c r="Q843" s="93"/>
      <c r="S843" s="100"/>
      <c r="T843" s="91"/>
      <c r="U843" s="101"/>
      <c r="V843" s="61"/>
      <c r="W843" s="61"/>
    </row>
    <row r="844" spans="3:23" x14ac:dyDescent="0.25">
      <c r="C844" s="125"/>
      <c r="D844" s="126"/>
      <c r="E844" s="126"/>
      <c r="F844" s="126"/>
      <c r="G844" s="126"/>
      <c r="H844" s="124"/>
      <c r="I844" s="124"/>
      <c r="K844" s="86"/>
      <c r="L844" s="87"/>
      <c r="O844" s="92"/>
      <c r="Q844" s="93"/>
      <c r="S844" s="100"/>
      <c r="T844" s="91"/>
      <c r="U844" s="101"/>
      <c r="V844" s="61"/>
      <c r="W844" s="61"/>
    </row>
    <row r="845" spans="3:23" x14ac:dyDescent="0.25">
      <c r="C845" s="127"/>
      <c r="D845" s="128"/>
      <c r="E845" s="128"/>
      <c r="F845" s="128"/>
      <c r="G845" s="128"/>
      <c r="H845" s="124"/>
      <c r="I845" s="124"/>
      <c r="K845" s="86"/>
      <c r="L845" s="87"/>
      <c r="O845" s="92"/>
      <c r="Q845" s="93"/>
      <c r="S845" s="100"/>
      <c r="T845" s="91"/>
      <c r="U845" s="101"/>
      <c r="V845" s="61"/>
      <c r="W845" s="61"/>
    </row>
    <row r="846" spans="3:23" x14ac:dyDescent="0.25">
      <c r="C846" s="125"/>
      <c r="D846" s="126"/>
      <c r="E846" s="126"/>
      <c r="F846" s="126"/>
      <c r="G846" s="126"/>
      <c r="H846" s="124"/>
      <c r="I846" s="124"/>
      <c r="K846" s="86"/>
      <c r="L846" s="87"/>
      <c r="O846" s="92"/>
      <c r="Q846" s="93"/>
      <c r="S846" s="100"/>
      <c r="T846" s="91"/>
      <c r="U846" s="101"/>
      <c r="V846" s="61"/>
      <c r="W846" s="61"/>
    </row>
    <row r="847" spans="3:23" x14ac:dyDescent="0.25">
      <c r="C847" s="127"/>
      <c r="D847" s="128"/>
      <c r="E847" s="128"/>
      <c r="F847" s="128"/>
      <c r="G847" s="128"/>
      <c r="H847" s="124"/>
      <c r="I847" s="124"/>
      <c r="K847" s="86"/>
      <c r="L847" s="87"/>
      <c r="O847" s="92"/>
      <c r="Q847" s="93"/>
      <c r="S847" s="100"/>
      <c r="T847" s="91"/>
      <c r="U847" s="101"/>
      <c r="V847" s="61"/>
      <c r="W847" s="61"/>
    </row>
    <row r="848" spans="3:23" x14ac:dyDescent="0.25">
      <c r="C848" s="125"/>
      <c r="D848" s="126"/>
      <c r="E848" s="126"/>
      <c r="F848" s="126"/>
      <c r="G848" s="126"/>
      <c r="H848" s="124"/>
      <c r="I848" s="124"/>
      <c r="K848" s="86"/>
      <c r="L848" s="87"/>
      <c r="O848" s="92"/>
      <c r="Q848" s="93"/>
      <c r="S848" s="100"/>
      <c r="T848" s="91"/>
      <c r="U848" s="101"/>
      <c r="V848" s="61"/>
      <c r="W848" s="61"/>
    </row>
    <row r="849" spans="3:23" x14ac:dyDescent="0.25">
      <c r="C849" s="127"/>
      <c r="D849" s="128"/>
      <c r="E849" s="128"/>
      <c r="F849" s="128"/>
      <c r="G849" s="128"/>
      <c r="H849" s="124"/>
      <c r="I849" s="124"/>
      <c r="K849" s="86"/>
      <c r="L849" s="87"/>
      <c r="O849" s="92"/>
      <c r="Q849" s="93"/>
      <c r="S849" s="100"/>
      <c r="T849" s="91"/>
      <c r="U849" s="101"/>
      <c r="V849" s="61"/>
      <c r="W849" s="61"/>
    </row>
    <row r="850" spans="3:23" x14ac:dyDescent="0.25">
      <c r="C850" s="125"/>
      <c r="D850" s="126"/>
      <c r="E850" s="126"/>
      <c r="F850" s="126"/>
      <c r="G850" s="126"/>
      <c r="H850" s="124"/>
      <c r="I850" s="124"/>
      <c r="K850" s="86"/>
      <c r="L850" s="87"/>
      <c r="O850" s="92"/>
      <c r="Q850" s="93"/>
      <c r="S850" s="100"/>
      <c r="T850" s="91"/>
      <c r="U850" s="101"/>
      <c r="V850" s="61"/>
      <c r="W850" s="61"/>
    </row>
    <row r="851" spans="3:23" x14ac:dyDescent="0.25">
      <c r="C851" s="127"/>
      <c r="D851" s="128"/>
      <c r="E851" s="128"/>
      <c r="F851" s="128"/>
      <c r="G851" s="128"/>
      <c r="H851" s="124"/>
      <c r="I851" s="124"/>
      <c r="K851" s="86"/>
      <c r="L851" s="87"/>
      <c r="O851" s="92"/>
      <c r="Q851" s="93"/>
      <c r="S851" s="100"/>
      <c r="T851" s="91"/>
      <c r="U851" s="101"/>
      <c r="V851" s="61"/>
      <c r="W851" s="61"/>
    </row>
    <row r="852" spans="3:23" x14ac:dyDescent="0.25">
      <c r="C852" s="125"/>
      <c r="D852" s="126"/>
      <c r="E852" s="126"/>
      <c r="F852" s="126"/>
      <c r="G852" s="126"/>
      <c r="H852" s="124"/>
      <c r="I852" s="124"/>
      <c r="K852" s="86"/>
      <c r="L852" s="87"/>
      <c r="O852" s="92"/>
      <c r="Q852" s="93"/>
      <c r="S852" s="100"/>
      <c r="T852" s="91"/>
      <c r="U852" s="101"/>
      <c r="V852" s="61"/>
      <c r="W852" s="61"/>
    </row>
    <row r="853" spans="3:23" x14ac:dyDescent="0.25">
      <c r="C853" s="127"/>
      <c r="D853" s="128"/>
      <c r="E853" s="128"/>
      <c r="F853" s="128"/>
      <c r="G853" s="128"/>
      <c r="H853" s="124"/>
      <c r="I853" s="124"/>
      <c r="K853" s="86"/>
      <c r="L853" s="87"/>
      <c r="O853" s="92"/>
      <c r="Q853" s="93"/>
      <c r="S853" s="100"/>
      <c r="T853" s="91"/>
      <c r="U853" s="101"/>
      <c r="V853" s="61"/>
      <c r="W853" s="61"/>
    </row>
    <row r="854" spans="3:23" x14ac:dyDescent="0.25">
      <c r="C854" s="125"/>
      <c r="D854" s="126"/>
      <c r="E854" s="126"/>
      <c r="F854" s="126"/>
      <c r="G854" s="126"/>
      <c r="H854" s="124"/>
      <c r="I854" s="124"/>
      <c r="K854" s="86"/>
      <c r="L854" s="87"/>
      <c r="O854" s="92"/>
      <c r="Q854" s="93"/>
      <c r="S854" s="100"/>
      <c r="T854" s="91"/>
      <c r="U854" s="101"/>
      <c r="V854" s="61"/>
      <c r="W854" s="61"/>
    </row>
    <row r="855" spans="3:23" x14ac:dyDescent="0.25">
      <c r="C855" s="127"/>
      <c r="D855" s="128"/>
      <c r="E855" s="128"/>
      <c r="F855" s="128"/>
      <c r="G855" s="128"/>
      <c r="H855" s="124"/>
      <c r="I855" s="124"/>
      <c r="K855" s="86"/>
      <c r="L855" s="87"/>
      <c r="O855" s="92"/>
      <c r="Q855" s="93"/>
      <c r="S855" s="100"/>
      <c r="T855" s="91"/>
      <c r="U855" s="101"/>
      <c r="V855" s="61"/>
      <c r="W855" s="61"/>
    </row>
    <row r="856" spans="3:23" x14ac:dyDescent="0.25">
      <c r="C856" s="125"/>
      <c r="D856" s="126"/>
      <c r="E856" s="126"/>
      <c r="F856" s="126"/>
      <c r="G856" s="126"/>
      <c r="H856" s="124"/>
      <c r="I856" s="124"/>
      <c r="K856" s="86"/>
      <c r="L856" s="87"/>
      <c r="O856" s="92"/>
      <c r="Q856" s="93"/>
      <c r="S856" s="100"/>
      <c r="T856" s="91"/>
      <c r="U856" s="101"/>
      <c r="V856" s="61"/>
      <c r="W856" s="61"/>
    </row>
    <row r="857" spans="3:23" x14ac:dyDescent="0.25">
      <c r="C857" s="127"/>
      <c r="D857" s="128"/>
      <c r="E857" s="128"/>
      <c r="F857" s="128"/>
      <c r="G857" s="128"/>
      <c r="H857" s="124"/>
      <c r="I857" s="124"/>
      <c r="K857" s="86"/>
      <c r="L857" s="87"/>
      <c r="O857" s="92"/>
      <c r="Q857" s="93"/>
      <c r="S857" s="100"/>
      <c r="T857" s="91"/>
      <c r="U857" s="101"/>
      <c r="V857" s="61"/>
      <c r="W857" s="61"/>
    </row>
    <row r="858" spans="3:23" x14ac:dyDescent="0.25">
      <c r="C858" s="125"/>
      <c r="D858" s="126"/>
      <c r="E858" s="126"/>
      <c r="F858" s="126"/>
      <c r="G858" s="126"/>
      <c r="H858" s="124"/>
      <c r="I858" s="124"/>
      <c r="K858" s="86"/>
      <c r="L858" s="87"/>
      <c r="O858" s="92"/>
      <c r="Q858" s="93"/>
      <c r="S858" s="100"/>
      <c r="T858" s="91"/>
      <c r="U858" s="101"/>
      <c r="V858" s="61"/>
      <c r="W858" s="61"/>
    </row>
    <row r="859" spans="3:23" x14ac:dyDescent="0.25">
      <c r="C859" s="127"/>
      <c r="D859" s="128"/>
      <c r="E859" s="128"/>
      <c r="F859" s="128"/>
      <c r="G859" s="128"/>
      <c r="H859" s="124"/>
      <c r="I859" s="124"/>
      <c r="K859" s="86"/>
      <c r="L859" s="87"/>
      <c r="O859" s="92"/>
      <c r="Q859" s="93"/>
      <c r="S859" s="100"/>
      <c r="T859" s="91"/>
      <c r="U859" s="101"/>
      <c r="V859" s="61"/>
      <c r="W859" s="61"/>
    </row>
    <row r="860" spans="3:23" x14ac:dyDescent="0.25">
      <c r="C860" s="125"/>
      <c r="D860" s="126"/>
      <c r="E860" s="126"/>
      <c r="F860" s="126"/>
      <c r="G860" s="126"/>
      <c r="H860" s="124"/>
      <c r="I860" s="124"/>
      <c r="K860" s="86"/>
      <c r="L860" s="87"/>
      <c r="O860" s="92"/>
      <c r="Q860" s="93"/>
      <c r="S860" s="100"/>
      <c r="T860" s="91"/>
      <c r="U860" s="101"/>
      <c r="V860" s="61"/>
      <c r="W860" s="61"/>
    </row>
    <row r="861" spans="3:23" x14ac:dyDescent="0.25">
      <c r="C861" s="127"/>
      <c r="D861" s="128"/>
      <c r="E861" s="128"/>
      <c r="F861" s="128"/>
      <c r="G861" s="128"/>
      <c r="H861" s="124"/>
      <c r="I861" s="124"/>
      <c r="K861" s="86"/>
      <c r="L861" s="87"/>
      <c r="O861" s="92"/>
      <c r="Q861" s="93"/>
      <c r="S861" s="100"/>
      <c r="T861" s="91"/>
      <c r="U861" s="101"/>
      <c r="V861" s="61"/>
      <c r="W861" s="61"/>
    </row>
    <row r="862" spans="3:23" x14ac:dyDescent="0.25">
      <c r="C862" s="125"/>
      <c r="D862" s="126"/>
      <c r="E862" s="126"/>
      <c r="F862" s="126"/>
      <c r="G862" s="126"/>
      <c r="H862" s="124"/>
      <c r="I862" s="124"/>
      <c r="K862" s="86"/>
      <c r="L862" s="87"/>
      <c r="O862" s="92"/>
      <c r="Q862" s="93"/>
      <c r="S862" s="100"/>
      <c r="T862" s="91"/>
      <c r="U862" s="101"/>
      <c r="V862" s="61"/>
      <c r="W862" s="61"/>
    </row>
    <row r="863" spans="3:23" x14ac:dyDescent="0.25">
      <c r="C863" s="127"/>
      <c r="D863" s="128"/>
      <c r="E863" s="128"/>
      <c r="F863" s="128"/>
      <c r="G863" s="128"/>
      <c r="H863" s="124"/>
      <c r="I863" s="124"/>
      <c r="K863" s="86"/>
      <c r="L863" s="87"/>
      <c r="O863" s="92"/>
      <c r="Q863" s="93"/>
      <c r="S863" s="100"/>
      <c r="T863" s="91"/>
      <c r="U863" s="101"/>
      <c r="V863" s="61"/>
      <c r="W863" s="61"/>
    </row>
    <row r="864" spans="3:23" x14ac:dyDescent="0.25">
      <c r="C864" s="125"/>
      <c r="D864" s="126"/>
      <c r="E864" s="126"/>
      <c r="F864" s="126"/>
      <c r="G864" s="126"/>
      <c r="H864" s="124"/>
      <c r="I864" s="124"/>
      <c r="K864" s="86"/>
      <c r="L864" s="87"/>
      <c r="O864" s="92"/>
      <c r="Q864" s="93"/>
      <c r="S864" s="100"/>
      <c r="T864" s="91"/>
      <c r="U864" s="101"/>
      <c r="V864" s="61"/>
      <c r="W864" s="61"/>
    </row>
    <row r="865" spans="3:23" x14ac:dyDescent="0.25">
      <c r="C865" s="127"/>
      <c r="D865" s="128"/>
      <c r="E865" s="128"/>
      <c r="F865" s="128"/>
      <c r="G865" s="128"/>
      <c r="H865" s="124"/>
      <c r="I865" s="124"/>
      <c r="K865" s="86"/>
      <c r="L865" s="87"/>
      <c r="O865" s="92"/>
      <c r="Q865" s="93"/>
      <c r="S865" s="100"/>
      <c r="T865" s="91"/>
      <c r="U865" s="101"/>
      <c r="V865" s="61"/>
      <c r="W865" s="61"/>
    </row>
    <row r="866" spans="3:23" x14ac:dyDescent="0.25">
      <c r="C866" s="125"/>
      <c r="D866" s="126"/>
      <c r="E866" s="126"/>
      <c r="F866" s="126"/>
      <c r="G866" s="126"/>
      <c r="H866" s="124"/>
      <c r="I866" s="124"/>
      <c r="K866" s="86"/>
      <c r="L866" s="87"/>
      <c r="O866" s="92"/>
      <c r="Q866" s="93"/>
      <c r="S866" s="100"/>
      <c r="T866" s="91"/>
      <c r="U866" s="101"/>
      <c r="V866" s="61"/>
      <c r="W866" s="61"/>
    </row>
    <row r="867" spans="3:23" x14ac:dyDescent="0.25">
      <c r="C867" s="127"/>
      <c r="D867" s="128"/>
      <c r="E867" s="128"/>
      <c r="F867" s="128"/>
      <c r="G867" s="128"/>
      <c r="H867" s="124"/>
      <c r="I867" s="124"/>
      <c r="K867" s="86"/>
      <c r="L867" s="87"/>
      <c r="O867" s="92"/>
      <c r="Q867" s="93"/>
      <c r="S867" s="100"/>
      <c r="T867" s="91"/>
      <c r="U867" s="101"/>
      <c r="V867" s="61"/>
      <c r="W867" s="61"/>
    </row>
    <row r="868" spans="3:23" x14ac:dyDescent="0.25">
      <c r="C868" s="125"/>
      <c r="D868" s="126"/>
      <c r="E868" s="126"/>
      <c r="F868" s="126"/>
      <c r="G868" s="126"/>
      <c r="H868" s="124"/>
      <c r="I868" s="124"/>
      <c r="K868" s="86"/>
      <c r="L868" s="87"/>
      <c r="O868" s="92"/>
      <c r="Q868" s="93"/>
      <c r="S868" s="100"/>
      <c r="T868" s="91"/>
      <c r="U868" s="101"/>
      <c r="V868" s="61"/>
      <c r="W868" s="61"/>
    </row>
    <row r="869" spans="3:23" x14ac:dyDescent="0.25">
      <c r="C869" s="127"/>
      <c r="D869" s="128"/>
      <c r="E869" s="128"/>
      <c r="F869" s="128"/>
      <c r="G869" s="128"/>
      <c r="H869" s="124"/>
      <c r="I869" s="124"/>
      <c r="K869" s="86"/>
      <c r="L869" s="87"/>
      <c r="O869" s="92"/>
      <c r="Q869" s="93"/>
      <c r="S869" s="100"/>
      <c r="T869" s="91"/>
      <c r="U869" s="101"/>
      <c r="V869" s="61"/>
      <c r="W869" s="61"/>
    </row>
    <row r="870" spans="3:23" x14ac:dyDescent="0.25">
      <c r="C870" s="125"/>
      <c r="D870" s="126"/>
      <c r="E870" s="126"/>
      <c r="F870" s="126"/>
      <c r="G870" s="126"/>
      <c r="H870" s="124"/>
      <c r="I870" s="124"/>
      <c r="K870" s="86"/>
      <c r="L870" s="87"/>
      <c r="O870" s="92"/>
      <c r="Q870" s="93"/>
      <c r="S870" s="100"/>
      <c r="T870" s="91"/>
      <c r="U870" s="101"/>
      <c r="V870" s="61"/>
      <c r="W870" s="61"/>
    </row>
    <row r="871" spans="3:23" x14ac:dyDescent="0.25">
      <c r="C871" s="127"/>
      <c r="D871" s="128"/>
      <c r="E871" s="128"/>
      <c r="F871" s="128"/>
      <c r="G871" s="128"/>
      <c r="H871" s="124"/>
      <c r="I871" s="124"/>
      <c r="K871" s="86"/>
      <c r="L871" s="87"/>
      <c r="O871" s="92"/>
      <c r="Q871" s="93"/>
      <c r="S871" s="100"/>
      <c r="T871" s="91"/>
      <c r="U871" s="101"/>
      <c r="V871" s="61"/>
      <c r="W871" s="61"/>
    </row>
    <row r="872" spans="3:23" x14ac:dyDescent="0.25">
      <c r="C872" s="125"/>
      <c r="D872" s="126"/>
      <c r="E872" s="126"/>
      <c r="F872" s="126"/>
      <c r="G872" s="126"/>
      <c r="H872" s="124"/>
      <c r="I872" s="124"/>
      <c r="K872" s="86"/>
      <c r="L872" s="87"/>
      <c r="O872" s="92"/>
      <c r="Q872" s="93"/>
      <c r="S872" s="100"/>
      <c r="T872" s="91"/>
      <c r="U872" s="101"/>
      <c r="V872" s="61"/>
      <c r="W872" s="61"/>
    </row>
    <row r="873" spans="3:23" x14ac:dyDescent="0.25">
      <c r="C873" s="127"/>
      <c r="D873" s="128"/>
      <c r="E873" s="128"/>
      <c r="F873" s="128"/>
      <c r="G873" s="128"/>
      <c r="H873" s="124"/>
      <c r="I873" s="124"/>
      <c r="K873" s="86"/>
      <c r="L873" s="87"/>
      <c r="O873" s="92"/>
      <c r="Q873" s="93"/>
      <c r="S873" s="100"/>
      <c r="T873" s="91"/>
      <c r="U873" s="101"/>
      <c r="V873" s="61"/>
      <c r="W873" s="61"/>
    </row>
    <row r="874" spans="3:23" x14ac:dyDescent="0.25">
      <c r="C874" s="125"/>
      <c r="D874" s="126"/>
      <c r="E874" s="126"/>
      <c r="F874" s="126"/>
      <c r="G874" s="126"/>
      <c r="H874" s="124"/>
      <c r="I874" s="124"/>
      <c r="K874" s="86"/>
      <c r="L874" s="87"/>
      <c r="O874" s="92"/>
      <c r="Q874" s="93"/>
      <c r="S874" s="100"/>
      <c r="T874" s="91"/>
      <c r="U874" s="101"/>
      <c r="V874" s="61"/>
      <c r="W874" s="61"/>
    </row>
    <row r="875" spans="3:23" x14ac:dyDescent="0.25">
      <c r="C875" s="127"/>
      <c r="D875" s="128"/>
      <c r="E875" s="128"/>
      <c r="F875" s="128"/>
      <c r="G875" s="128"/>
      <c r="H875" s="124"/>
      <c r="I875" s="124"/>
      <c r="K875" s="86"/>
      <c r="L875" s="87"/>
      <c r="O875" s="92"/>
      <c r="Q875" s="93"/>
      <c r="S875" s="100"/>
      <c r="T875" s="91"/>
      <c r="U875" s="101"/>
      <c r="V875" s="61"/>
      <c r="W875" s="61"/>
    </row>
    <row r="876" spans="3:23" x14ac:dyDescent="0.25">
      <c r="C876" s="125"/>
      <c r="D876" s="126"/>
      <c r="E876" s="126"/>
      <c r="F876" s="126"/>
      <c r="G876" s="126"/>
      <c r="H876" s="124"/>
      <c r="I876" s="124"/>
      <c r="K876" s="86"/>
      <c r="L876" s="87"/>
      <c r="O876" s="92"/>
      <c r="Q876" s="93"/>
      <c r="S876" s="100"/>
      <c r="T876" s="91"/>
      <c r="U876" s="101"/>
      <c r="V876" s="61"/>
      <c r="W876" s="61"/>
    </row>
    <row r="877" spans="3:23" x14ac:dyDescent="0.25">
      <c r="C877" s="127"/>
      <c r="D877" s="128"/>
      <c r="E877" s="128"/>
      <c r="F877" s="128"/>
      <c r="G877" s="128"/>
      <c r="H877" s="124"/>
      <c r="I877" s="124"/>
      <c r="K877" s="86"/>
      <c r="L877" s="87"/>
      <c r="O877" s="92"/>
      <c r="Q877" s="93"/>
      <c r="S877" s="100"/>
      <c r="T877" s="91"/>
      <c r="U877" s="101"/>
      <c r="V877" s="61"/>
      <c r="W877" s="61"/>
    </row>
    <row r="878" spans="3:23" x14ac:dyDescent="0.25">
      <c r="C878" s="125"/>
      <c r="D878" s="126"/>
      <c r="E878" s="126"/>
      <c r="F878" s="126"/>
      <c r="G878" s="126"/>
      <c r="H878" s="124"/>
      <c r="I878" s="124"/>
      <c r="K878" s="86"/>
      <c r="L878" s="87"/>
      <c r="O878" s="92"/>
      <c r="Q878" s="93"/>
      <c r="S878" s="100"/>
      <c r="T878" s="91"/>
      <c r="U878" s="101"/>
      <c r="V878" s="61"/>
      <c r="W878" s="61"/>
    </row>
    <row r="879" spans="3:23" x14ac:dyDescent="0.25">
      <c r="C879" s="127"/>
      <c r="D879" s="128"/>
      <c r="E879" s="128"/>
      <c r="F879" s="128"/>
      <c r="G879" s="128"/>
      <c r="H879" s="124"/>
      <c r="I879" s="124"/>
      <c r="K879" s="86"/>
      <c r="L879" s="87"/>
      <c r="O879" s="92"/>
      <c r="Q879" s="93"/>
      <c r="S879" s="100"/>
      <c r="T879" s="91"/>
      <c r="U879" s="101"/>
      <c r="V879" s="61"/>
      <c r="W879" s="61"/>
    </row>
    <row r="880" spans="3:23" x14ac:dyDescent="0.25">
      <c r="C880" s="125"/>
      <c r="D880" s="126"/>
      <c r="E880" s="126"/>
      <c r="F880" s="126"/>
      <c r="G880" s="126"/>
      <c r="H880" s="124"/>
      <c r="I880" s="124"/>
      <c r="K880" s="86"/>
      <c r="L880" s="87"/>
      <c r="O880" s="92"/>
      <c r="Q880" s="93"/>
      <c r="S880" s="100"/>
      <c r="T880" s="91"/>
      <c r="U880" s="101"/>
      <c r="V880" s="61"/>
      <c r="W880" s="61"/>
    </row>
    <row r="881" spans="3:23" x14ac:dyDescent="0.25">
      <c r="C881" s="127"/>
      <c r="D881" s="128"/>
      <c r="E881" s="128"/>
      <c r="F881" s="128"/>
      <c r="G881" s="128"/>
      <c r="H881" s="124"/>
      <c r="I881" s="124"/>
      <c r="K881" s="86"/>
      <c r="L881" s="87"/>
      <c r="O881" s="92"/>
      <c r="Q881" s="93"/>
      <c r="S881" s="100"/>
      <c r="T881" s="91"/>
      <c r="U881" s="101"/>
      <c r="V881" s="61"/>
      <c r="W881" s="61"/>
    </row>
    <row r="882" spans="3:23" x14ac:dyDescent="0.25">
      <c r="C882" s="125"/>
      <c r="D882" s="126"/>
      <c r="E882" s="126"/>
      <c r="F882" s="126"/>
      <c r="G882" s="126"/>
      <c r="H882" s="124"/>
      <c r="I882" s="124"/>
      <c r="K882" s="86"/>
      <c r="L882" s="87"/>
      <c r="O882" s="92"/>
      <c r="Q882" s="93"/>
      <c r="S882" s="100"/>
      <c r="T882" s="91"/>
      <c r="U882" s="101"/>
      <c r="V882" s="61"/>
      <c r="W882" s="61"/>
    </row>
    <row r="883" spans="3:23" x14ac:dyDescent="0.25">
      <c r="C883" s="127"/>
      <c r="D883" s="128"/>
      <c r="E883" s="128"/>
      <c r="F883" s="128"/>
      <c r="G883" s="128"/>
      <c r="H883" s="124"/>
      <c r="I883" s="124"/>
      <c r="K883" s="86"/>
      <c r="L883" s="87"/>
      <c r="O883" s="92"/>
      <c r="Q883" s="93"/>
      <c r="S883" s="100"/>
      <c r="T883" s="91"/>
      <c r="U883" s="101"/>
      <c r="V883" s="61"/>
      <c r="W883" s="61"/>
    </row>
    <row r="884" spans="3:23" x14ac:dyDescent="0.25">
      <c r="C884" s="125"/>
      <c r="D884" s="126"/>
      <c r="E884" s="126"/>
      <c r="F884" s="126"/>
      <c r="G884" s="126"/>
      <c r="H884" s="124"/>
      <c r="I884" s="124"/>
      <c r="K884" s="86"/>
      <c r="L884" s="87"/>
      <c r="O884" s="92"/>
      <c r="Q884" s="93"/>
      <c r="S884" s="100"/>
      <c r="T884" s="91"/>
      <c r="U884" s="101"/>
      <c r="V884" s="61"/>
      <c r="W884" s="61"/>
    </row>
    <row r="885" spans="3:23" x14ac:dyDescent="0.25">
      <c r="C885" s="127"/>
      <c r="D885" s="128"/>
      <c r="E885" s="128"/>
      <c r="F885" s="128"/>
      <c r="G885" s="128"/>
      <c r="H885" s="124"/>
      <c r="I885" s="124"/>
      <c r="K885" s="86"/>
      <c r="L885" s="87"/>
      <c r="O885" s="92"/>
      <c r="Q885" s="93"/>
      <c r="S885" s="100"/>
      <c r="T885" s="91"/>
      <c r="U885" s="101"/>
      <c r="V885" s="61"/>
      <c r="W885" s="61"/>
    </row>
    <row r="886" spans="3:23" x14ac:dyDescent="0.25">
      <c r="C886" s="125"/>
      <c r="D886" s="126"/>
      <c r="E886" s="126"/>
      <c r="F886" s="126"/>
      <c r="G886" s="126"/>
      <c r="H886" s="124"/>
      <c r="I886" s="124"/>
      <c r="K886" s="86"/>
      <c r="L886" s="87"/>
      <c r="O886" s="92"/>
      <c r="Q886" s="93"/>
      <c r="S886" s="100"/>
      <c r="T886" s="91"/>
      <c r="U886" s="101"/>
      <c r="V886" s="61"/>
      <c r="W886" s="61"/>
    </row>
    <row r="887" spans="3:23" x14ac:dyDescent="0.25">
      <c r="C887" s="127"/>
      <c r="D887" s="128"/>
      <c r="E887" s="128"/>
      <c r="F887" s="128"/>
      <c r="G887" s="128"/>
      <c r="H887" s="124"/>
      <c r="I887" s="124"/>
      <c r="K887" s="86"/>
      <c r="L887" s="87"/>
      <c r="O887" s="92"/>
      <c r="Q887" s="93"/>
      <c r="S887" s="100"/>
      <c r="T887" s="91"/>
      <c r="U887" s="101"/>
      <c r="V887" s="61"/>
      <c r="W887" s="61"/>
    </row>
    <row r="888" spans="3:23" x14ac:dyDescent="0.25">
      <c r="C888" s="125"/>
      <c r="D888" s="126"/>
      <c r="E888" s="126"/>
      <c r="F888" s="126"/>
      <c r="G888" s="126"/>
      <c r="H888" s="124"/>
      <c r="I888" s="124"/>
      <c r="K888" s="86"/>
      <c r="L888" s="87"/>
      <c r="O888" s="92"/>
      <c r="Q888" s="93"/>
      <c r="S888" s="100"/>
      <c r="T888" s="91"/>
      <c r="U888" s="101"/>
      <c r="V888" s="61"/>
      <c r="W888" s="61"/>
    </row>
    <row r="889" spans="3:23" x14ac:dyDescent="0.25">
      <c r="C889" s="127"/>
      <c r="D889" s="128"/>
      <c r="E889" s="128"/>
      <c r="F889" s="128"/>
      <c r="G889" s="128"/>
      <c r="H889" s="124"/>
      <c r="I889" s="124"/>
      <c r="K889" s="86"/>
      <c r="L889" s="87"/>
      <c r="O889" s="92"/>
      <c r="Q889" s="93"/>
      <c r="S889" s="100"/>
      <c r="T889" s="91"/>
      <c r="U889" s="101"/>
      <c r="V889" s="61"/>
      <c r="W889" s="61"/>
    </row>
    <row r="890" spans="3:23" x14ac:dyDescent="0.25">
      <c r="C890" s="125"/>
      <c r="D890" s="126"/>
      <c r="E890" s="126"/>
      <c r="F890" s="126"/>
      <c r="G890" s="126"/>
      <c r="H890" s="124"/>
      <c r="I890" s="124"/>
      <c r="K890" s="86"/>
      <c r="L890" s="87"/>
      <c r="O890" s="92"/>
      <c r="Q890" s="93"/>
      <c r="S890" s="100"/>
      <c r="T890" s="91"/>
      <c r="U890" s="101"/>
      <c r="V890" s="61"/>
      <c r="W890" s="61"/>
    </row>
    <row r="891" spans="3:23" x14ac:dyDescent="0.25">
      <c r="C891" s="127"/>
      <c r="D891" s="128"/>
      <c r="E891" s="128"/>
      <c r="F891" s="128"/>
      <c r="G891" s="128"/>
      <c r="H891" s="124"/>
      <c r="I891" s="124"/>
      <c r="K891" s="86"/>
      <c r="L891" s="87"/>
      <c r="O891" s="92"/>
      <c r="Q891" s="93"/>
      <c r="S891" s="100"/>
      <c r="T891" s="91"/>
      <c r="U891" s="101"/>
      <c r="V891" s="61"/>
      <c r="W891" s="61"/>
    </row>
    <row r="892" spans="3:23" x14ac:dyDescent="0.25">
      <c r="C892" s="125"/>
      <c r="D892" s="126"/>
      <c r="E892" s="126"/>
      <c r="F892" s="126"/>
      <c r="G892" s="126"/>
      <c r="H892" s="124"/>
      <c r="I892" s="124"/>
      <c r="K892" s="86"/>
      <c r="L892" s="87"/>
      <c r="O892" s="92"/>
      <c r="Q892" s="93"/>
      <c r="S892" s="100"/>
      <c r="T892" s="91"/>
      <c r="U892" s="101"/>
      <c r="V892" s="61"/>
      <c r="W892" s="61"/>
    </row>
    <row r="893" spans="3:23" x14ac:dyDescent="0.25">
      <c r="C893" s="127"/>
      <c r="D893" s="128"/>
      <c r="E893" s="128"/>
      <c r="F893" s="128"/>
      <c r="G893" s="128"/>
      <c r="H893" s="124"/>
      <c r="I893" s="124"/>
      <c r="K893" s="86"/>
      <c r="L893" s="87"/>
      <c r="O893" s="92"/>
      <c r="Q893" s="93"/>
      <c r="S893" s="100"/>
      <c r="T893" s="91"/>
      <c r="U893" s="101"/>
      <c r="V893" s="61"/>
      <c r="W893" s="61"/>
    </row>
    <row r="894" spans="3:23" x14ac:dyDescent="0.25">
      <c r="C894" s="125"/>
      <c r="D894" s="126"/>
      <c r="E894" s="126"/>
      <c r="F894" s="126"/>
      <c r="G894" s="126"/>
      <c r="H894" s="124"/>
      <c r="I894" s="124"/>
      <c r="K894" s="86"/>
      <c r="L894" s="87"/>
      <c r="O894" s="92"/>
      <c r="Q894" s="93"/>
      <c r="S894" s="100"/>
      <c r="T894" s="91"/>
      <c r="U894" s="101"/>
      <c r="V894" s="61"/>
      <c r="W894" s="61"/>
    </row>
    <row r="895" spans="3:23" x14ac:dyDescent="0.25">
      <c r="C895" s="127"/>
      <c r="D895" s="128"/>
      <c r="E895" s="128"/>
      <c r="F895" s="128"/>
      <c r="G895" s="128"/>
      <c r="H895" s="124"/>
      <c r="I895" s="124"/>
      <c r="K895" s="86"/>
      <c r="L895" s="87"/>
      <c r="O895" s="92"/>
      <c r="Q895" s="93"/>
      <c r="S895" s="100"/>
      <c r="T895" s="91"/>
      <c r="U895" s="101"/>
      <c r="V895" s="61"/>
      <c r="W895" s="61"/>
    </row>
    <row r="896" spans="3:23" x14ac:dyDescent="0.25">
      <c r="C896" s="125"/>
      <c r="D896" s="126"/>
      <c r="E896" s="126"/>
      <c r="F896" s="126"/>
      <c r="G896" s="126"/>
      <c r="H896" s="124"/>
      <c r="I896" s="124"/>
      <c r="K896" s="86"/>
      <c r="L896" s="87"/>
      <c r="O896" s="92"/>
      <c r="Q896" s="93"/>
      <c r="S896" s="100"/>
      <c r="T896" s="91"/>
      <c r="U896" s="101"/>
      <c r="V896" s="61"/>
      <c r="W896" s="61"/>
    </row>
    <row r="897" spans="3:23" x14ac:dyDescent="0.25">
      <c r="C897" s="127"/>
      <c r="D897" s="128"/>
      <c r="E897" s="128"/>
      <c r="F897" s="128"/>
      <c r="G897" s="128"/>
      <c r="H897" s="124"/>
      <c r="I897" s="124"/>
      <c r="K897" s="86"/>
      <c r="L897" s="87"/>
      <c r="O897" s="92"/>
      <c r="Q897" s="93"/>
      <c r="S897" s="100"/>
      <c r="T897" s="91"/>
      <c r="U897" s="101"/>
      <c r="V897" s="61"/>
      <c r="W897" s="61"/>
    </row>
    <row r="898" spans="3:23" x14ac:dyDescent="0.25">
      <c r="C898" s="125"/>
      <c r="D898" s="126"/>
      <c r="E898" s="126"/>
      <c r="F898" s="126"/>
      <c r="G898" s="126"/>
      <c r="H898" s="124"/>
      <c r="I898" s="124"/>
      <c r="K898" s="86"/>
      <c r="L898" s="87"/>
      <c r="O898" s="92"/>
      <c r="Q898" s="93"/>
      <c r="S898" s="100"/>
      <c r="T898" s="91"/>
      <c r="U898" s="101"/>
      <c r="V898" s="61"/>
      <c r="W898" s="61"/>
    </row>
    <row r="899" spans="3:23" x14ac:dyDescent="0.25">
      <c r="C899" s="127"/>
      <c r="D899" s="128"/>
      <c r="E899" s="128"/>
      <c r="F899" s="128"/>
      <c r="G899" s="128"/>
      <c r="H899" s="124"/>
      <c r="I899" s="124"/>
      <c r="K899" s="86"/>
      <c r="L899" s="87"/>
      <c r="O899" s="92"/>
      <c r="Q899" s="93"/>
      <c r="S899" s="100"/>
      <c r="T899" s="91"/>
      <c r="U899" s="101"/>
      <c r="V899" s="61"/>
      <c r="W899" s="61"/>
    </row>
    <row r="900" spans="3:23" x14ac:dyDescent="0.25">
      <c r="C900" s="125"/>
      <c r="D900" s="126"/>
      <c r="E900" s="126"/>
      <c r="F900" s="126"/>
      <c r="G900" s="126"/>
      <c r="H900" s="124"/>
      <c r="I900" s="124"/>
      <c r="K900" s="86"/>
      <c r="L900" s="87"/>
      <c r="O900" s="92"/>
      <c r="Q900" s="93"/>
      <c r="S900" s="100"/>
      <c r="T900" s="91"/>
      <c r="U900" s="101"/>
      <c r="V900" s="61"/>
      <c r="W900" s="61"/>
    </row>
    <row r="901" spans="3:23" x14ac:dyDescent="0.25">
      <c r="C901" s="127"/>
      <c r="D901" s="128"/>
      <c r="E901" s="128"/>
      <c r="F901" s="128"/>
      <c r="G901" s="128"/>
      <c r="H901" s="124"/>
      <c r="I901" s="124"/>
      <c r="K901" s="86"/>
      <c r="L901" s="87"/>
      <c r="O901" s="92"/>
      <c r="Q901" s="93"/>
      <c r="S901" s="100"/>
      <c r="T901" s="91"/>
      <c r="U901" s="101"/>
      <c r="V901" s="61"/>
      <c r="W901" s="61"/>
    </row>
    <row r="902" spans="3:23" x14ac:dyDescent="0.25">
      <c r="C902" s="125"/>
      <c r="D902" s="126"/>
      <c r="E902" s="126"/>
      <c r="F902" s="126"/>
      <c r="G902" s="126"/>
      <c r="H902" s="124"/>
      <c r="I902" s="124"/>
      <c r="K902" s="86"/>
      <c r="L902" s="87"/>
      <c r="O902" s="92"/>
      <c r="Q902" s="93"/>
      <c r="S902" s="100"/>
      <c r="T902" s="91"/>
      <c r="U902" s="101"/>
      <c r="V902" s="61"/>
      <c r="W902" s="61"/>
    </row>
    <row r="903" spans="3:23" x14ac:dyDescent="0.25">
      <c r="C903" s="127"/>
      <c r="D903" s="128"/>
      <c r="E903" s="128"/>
      <c r="F903" s="128"/>
      <c r="G903" s="128"/>
      <c r="H903" s="124"/>
      <c r="I903" s="124"/>
      <c r="K903" s="86"/>
      <c r="L903" s="87"/>
      <c r="O903" s="92"/>
      <c r="Q903" s="93"/>
      <c r="S903" s="100"/>
      <c r="T903" s="91"/>
      <c r="U903" s="101"/>
      <c r="V903" s="61"/>
      <c r="W903" s="61"/>
    </row>
    <row r="904" spans="3:23" x14ac:dyDescent="0.25">
      <c r="C904" s="125"/>
      <c r="D904" s="126"/>
      <c r="E904" s="126"/>
      <c r="F904" s="126"/>
      <c r="G904" s="126"/>
      <c r="H904" s="124"/>
      <c r="I904" s="124"/>
      <c r="K904" s="86"/>
      <c r="L904" s="87"/>
      <c r="O904" s="92"/>
      <c r="Q904" s="93"/>
      <c r="S904" s="100"/>
      <c r="T904" s="91"/>
      <c r="U904" s="101"/>
      <c r="V904" s="61"/>
      <c r="W904" s="61"/>
    </row>
    <row r="905" spans="3:23" x14ac:dyDescent="0.25">
      <c r="C905" s="127"/>
      <c r="D905" s="128"/>
      <c r="E905" s="128"/>
      <c r="F905" s="128"/>
      <c r="G905" s="128"/>
      <c r="H905" s="124"/>
      <c r="I905" s="124"/>
      <c r="K905" s="86"/>
      <c r="L905" s="87"/>
      <c r="O905" s="92"/>
      <c r="Q905" s="93"/>
      <c r="S905" s="100"/>
      <c r="T905" s="91"/>
      <c r="U905" s="101"/>
      <c r="V905" s="61"/>
      <c r="W905" s="61"/>
    </row>
    <row r="906" spans="3:23" x14ac:dyDescent="0.25">
      <c r="C906" s="125"/>
      <c r="D906" s="126"/>
      <c r="E906" s="126"/>
      <c r="F906" s="126"/>
      <c r="G906" s="126"/>
      <c r="H906" s="124"/>
      <c r="I906" s="124"/>
      <c r="K906" s="86"/>
      <c r="L906" s="87"/>
      <c r="O906" s="92"/>
      <c r="Q906" s="93"/>
      <c r="S906" s="100"/>
      <c r="T906" s="91"/>
      <c r="U906" s="101"/>
      <c r="V906" s="61"/>
      <c r="W906" s="61"/>
    </row>
    <row r="907" spans="3:23" x14ac:dyDescent="0.25">
      <c r="C907" s="127"/>
      <c r="D907" s="128"/>
      <c r="E907" s="128"/>
      <c r="F907" s="128"/>
      <c r="G907" s="128"/>
      <c r="H907" s="124"/>
      <c r="I907" s="124"/>
      <c r="K907" s="86"/>
      <c r="L907" s="87"/>
      <c r="O907" s="92"/>
      <c r="Q907" s="93"/>
      <c r="S907" s="100"/>
      <c r="T907" s="91"/>
      <c r="U907" s="101"/>
      <c r="V907" s="61"/>
      <c r="W907" s="61"/>
    </row>
    <row r="908" spans="3:23" x14ac:dyDescent="0.25">
      <c r="C908" s="125"/>
      <c r="D908" s="126"/>
      <c r="E908" s="126"/>
      <c r="F908" s="126"/>
      <c r="G908" s="126"/>
      <c r="H908" s="124"/>
      <c r="I908" s="124"/>
      <c r="K908" s="86"/>
      <c r="L908" s="87"/>
      <c r="O908" s="92"/>
      <c r="Q908" s="93"/>
      <c r="S908" s="100"/>
      <c r="T908" s="91"/>
      <c r="U908" s="101"/>
      <c r="V908" s="61"/>
      <c r="W908" s="61"/>
    </row>
    <row r="909" spans="3:23" x14ac:dyDescent="0.25">
      <c r="C909" s="127"/>
      <c r="D909" s="128"/>
      <c r="E909" s="128"/>
      <c r="F909" s="128"/>
      <c r="G909" s="128"/>
      <c r="H909" s="124"/>
      <c r="I909" s="124"/>
      <c r="K909" s="86"/>
      <c r="L909" s="87"/>
      <c r="O909" s="92"/>
      <c r="Q909" s="93"/>
      <c r="S909" s="100"/>
      <c r="T909" s="91"/>
      <c r="U909" s="101"/>
      <c r="V909" s="61"/>
      <c r="W909" s="61"/>
    </row>
    <row r="910" spans="3:23" x14ac:dyDescent="0.25">
      <c r="C910" s="125"/>
      <c r="D910" s="126"/>
      <c r="E910" s="126"/>
      <c r="F910" s="126"/>
      <c r="G910" s="126"/>
      <c r="H910" s="124"/>
      <c r="I910" s="124"/>
      <c r="K910" s="86"/>
      <c r="L910" s="87"/>
      <c r="O910" s="92"/>
      <c r="Q910" s="93"/>
      <c r="S910" s="100"/>
      <c r="T910" s="91"/>
      <c r="U910" s="101"/>
      <c r="V910" s="61"/>
      <c r="W910" s="61"/>
    </row>
    <row r="911" spans="3:23" x14ac:dyDescent="0.25">
      <c r="C911" s="127"/>
      <c r="D911" s="128"/>
      <c r="E911" s="128"/>
      <c r="F911" s="128"/>
      <c r="G911" s="128"/>
      <c r="H911" s="124"/>
      <c r="I911" s="124"/>
      <c r="K911" s="86"/>
      <c r="L911" s="87"/>
      <c r="O911" s="92"/>
      <c r="Q911" s="93"/>
      <c r="S911" s="100"/>
      <c r="T911" s="91"/>
      <c r="U911" s="101"/>
      <c r="V911" s="61"/>
      <c r="W911" s="61"/>
    </row>
    <row r="912" spans="3:23" x14ac:dyDescent="0.25">
      <c r="C912" s="125"/>
      <c r="D912" s="126"/>
      <c r="E912" s="126"/>
      <c r="F912" s="126"/>
      <c r="G912" s="126"/>
      <c r="H912" s="124"/>
      <c r="I912" s="124"/>
      <c r="K912" s="86"/>
      <c r="L912" s="87"/>
      <c r="O912" s="92"/>
      <c r="Q912" s="93"/>
      <c r="S912" s="100"/>
      <c r="T912" s="91"/>
      <c r="U912" s="101"/>
      <c r="V912" s="61"/>
      <c r="W912" s="61"/>
    </row>
    <row r="913" spans="3:23" x14ac:dyDescent="0.25">
      <c r="C913" s="127"/>
      <c r="D913" s="128"/>
      <c r="E913" s="128"/>
      <c r="F913" s="128"/>
      <c r="G913" s="128"/>
      <c r="H913" s="124"/>
      <c r="I913" s="124"/>
      <c r="K913" s="86"/>
      <c r="L913" s="87"/>
      <c r="O913" s="92"/>
      <c r="Q913" s="93"/>
      <c r="S913" s="100"/>
      <c r="T913" s="91"/>
      <c r="U913" s="101"/>
      <c r="V913" s="61"/>
      <c r="W913" s="61"/>
    </row>
    <row r="914" spans="3:23" x14ac:dyDescent="0.25">
      <c r="C914" s="125"/>
      <c r="D914" s="126"/>
      <c r="E914" s="126"/>
      <c r="F914" s="126"/>
      <c r="G914" s="126"/>
      <c r="H914" s="124"/>
      <c r="I914" s="124"/>
      <c r="K914" s="86"/>
      <c r="L914" s="87"/>
      <c r="O914" s="92"/>
      <c r="Q914" s="93"/>
      <c r="S914" s="100"/>
      <c r="T914" s="91"/>
      <c r="U914" s="101"/>
      <c r="V914" s="61"/>
      <c r="W914" s="61"/>
    </row>
    <row r="915" spans="3:23" x14ac:dyDescent="0.25">
      <c r="C915" s="127"/>
      <c r="D915" s="128"/>
      <c r="E915" s="128"/>
      <c r="F915" s="128"/>
      <c r="G915" s="128"/>
      <c r="H915" s="124"/>
      <c r="I915" s="124"/>
      <c r="K915" s="86"/>
      <c r="L915" s="87"/>
      <c r="O915" s="92"/>
      <c r="Q915" s="93"/>
      <c r="S915" s="100"/>
      <c r="T915" s="91"/>
      <c r="U915" s="101"/>
      <c r="V915" s="61"/>
      <c r="W915" s="61"/>
    </row>
    <row r="916" spans="3:23" x14ac:dyDescent="0.25">
      <c r="C916" s="125"/>
      <c r="D916" s="126"/>
      <c r="E916" s="126"/>
      <c r="F916" s="126"/>
      <c r="G916" s="126"/>
      <c r="H916" s="124"/>
      <c r="I916" s="124"/>
      <c r="K916" s="86"/>
      <c r="L916" s="87"/>
      <c r="O916" s="92"/>
      <c r="Q916" s="93"/>
      <c r="S916" s="100"/>
      <c r="T916" s="91"/>
      <c r="U916" s="101"/>
      <c r="V916" s="61"/>
      <c r="W916" s="61"/>
    </row>
    <row r="917" spans="3:23" x14ac:dyDescent="0.25">
      <c r="C917" s="127"/>
      <c r="D917" s="128"/>
      <c r="E917" s="128"/>
      <c r="F917" s="128"/>
      <c r="G917" s="128"/>
      <c r="H917" s="124"/>
      <c r="I917" s="124"/>
      <c r="K917" s="86"/>
      <c r="L917" s="87"/>
      <c r="O917" s="92"/>
      <c r="Q917" s="93"/>
      <c r="S917" s="100"/>
      <c r="T917" s="91"/>
      <c r="U917" s="101"/>
      <c r="V917" s="61"/>
      <c r="W917" s="61"/>
    </row>
    <row r="918" spans="3:23" x14ac:dyDescent="0.25">
      <c r="C918" s="125"/>
      <c r="D918" s="126"/>
      <c r="E918" s="126"/>
      <c r="F918" s="126"/>
      <c r="G918" s="126"/>
      <c r="H918" s="124"/>
      <c r="I918" s="124"/>
      <c r="K918" s="86"/>
      <c r="L918" s="87"/>
      <c r="O918" s="92"/>
      <c r="Q918" s="93"/>
      <c r="S918" s="100"/>
      <c r="T918" s="91"/>
      <c r="U918" s="101"/>
      <c r="V918" s="61"/>
      <c r="W918" s="61"/>
    </row>
    <row r="919" spans="3:23" x14ac:dyDescent="0.25">
      <c r="C919" s="127"/>
      <c r="D919" s="128"/>
      <c r="E919" s="128"/>
      <c r="F919" s="128"/>
      <c r="G919" s="128"/>
      <c r="H919" s="124"/>
      <c r="I919" s="124"/>
      <c r="K919" s="86"/>
      <c r="L919" s="87"/>
      <c r="O919" s="92"/>
      <c r="Q919" s="93"/>
      <c r="S919" s="100"/>
      <c r="T919" s="91"/>
      <c r="U919" s="101"/>
      <c r="V919" s="61"/>
      <c r="W919" s="61"/>
    </row>
    <row r="920" spans="3:23" x14ac:dyDescent="0.25">
      <c r="C920" s="125"/>
      <c r="D920" s="126"/>
      <c r="E920" s="126"/>
      <c r="F920" s="126"/>
      <c r="G920" s="126"/>
      <c r="H920" s="124"/>
      <c r="I920" s="124"/>
      <c r="K920" s="86"/>
      <c r="L920" s="87"/>
      <c r="O920" s="92"/>
      <c r="Q920" s="93"/>
      <c r="S920" s="100"/>
      <c r="T920" s="91"/>
      <c r="U920" s="101"/>
      <c r="V920" s="61"/>
      <c r="W920" s="61"/>
    </row>
    <row r="921" spans="3:23" x14ac:dyDescent="0.25">
      <c r="C921" s="127"/>
      <c r="D921" s="128"/>
      <c r="E921" s="128"/>
      <c r="F921" s="128"/>
      <c r="G921" s="128"/>
      <c r="H921" s="124"/>
      <c r="I921" s="124"/>
      <c r="K921" s="86"/>
      <c r="L921" s="87"/>
      <c r="O921" s="92"/>
      <c r="Q921" s="93"/>
      <c r="S921" s="100"/>
      <c r="T921" s="91"/>
      <c r="U921" s="101"/>
      <c r="V921" s="61"/>
      <c r="W921" s="61"/>
    </row>
    <row r="922" spans="3:23" x14ac:dyDescent="0.25">
      <c r="C922" s="125"/>
      <c r="D922" s="126"/>
      <c r="E922" s="126"/>
      <c r="F922" s="126"/>
      <c r="G922" s="126"/>
      <c r="H922" s="124"/>
      <c r="I922" s="124"/>
      <c r="K922" s="86"/>
      <c r="L922" s="87"/>
      <c r="O922" s="92"/>
      <c r="Q922" s="93"/>
      <c r="S922" s="100"/>
      <c r="T922" s="91"/>
      <c r="U922" s="101"/>
      <c r="V922" s="61"/>
      <c r="W922" s="61"/>
    </row>
    <row r="923" spans="3:23" x14ac:dyDescent="0.25">
      <c r="C923" s="127"/>
      <c r="D923" s="128"/>
      <c r="E923" s="128"/>
      <c r="F923" s="128"/>
      <c r="G923" s="128"/>
      <c r="H923" s="124"/>
      <c r="I923" s="124"/>
      <c r="K923" s="86"/>
      <c r="L923" s="87"/>
      <c r="O923" s="92"/>
      <c r="Q923" s="93"/>
      <c r="S923" s="100"/>
      <c r="T923" s="91"/>
      <c r="U923" s="101"/>
      <c r="V923" s="61"/>
      <c r="W923" s="61"/>
    </row>
    <row r="924" spans="3:23" x14ac:dyDescent="0.25">
      <c r="C924" s="125"/>
      <c r="D924" s="126"/>
      <c r="E924" s="126"/>
      <c r="F924" s="126"/>
      <c r="G924" s="126"/>
      <c r="H924" s="124"/>
      <c r="I924" s="124"/>
      <c r="K924" s="86"/>
      <c r="L924" s="87"/>
      <c r="O924" s="92"/>
      <c r="Q924" s="93"/>
      <c r="S924" s="100"/>
      <c r="T924" s="91"/>
      <c r="U924" s="101"/>
      <c r="V924" s="61"/>
      <c r="W924" s="61"/>
    </row>
    <row r="925" spans="3:23" x14ac:dyDescent="0.25">
      <c r="C925" s="127"/>
      <c r="D925" s="128"/>
      <c r="E925" s="128"/>
      <c r="F925" s="128"/>
      <c r="G925" s="128"/>
      <c r="H925" s="124"/>
      <c r="I925" s="124"/>
      <c r="K925" s="86"/>
      <c r="L925" s="87"/>
      <c r="O925" s="92"/>
      <c r="Q925" s="93"/>
      <c r="S925" s="100"/>
      <c r="T925" s="91"/>
      <c r="U925" s="101"/>
      <c r="V925" s="61"/>
      <c r="W925" s="61"/>
    </row>
    <row r="926" spans="3:23" x14ac:dyDescent="0.25">
      <c r="C926" s="125"/>
      <c r="D926" s="126"/>
      <c r="E926" s="126"/>
      <c r="F926" s="126"/>
      <c r="G926" s="126"/>
      <c r="H926" s="124"/>
      <c r="I926" s="124"/>
      <c r="K926" s="86"/>
      <c r="L926" s="87"/>
      <c r="O926" s="92"/>
      <c r="Q926" s="93"/>
      <c r="S926" s="100"/>
      <c r="T926" s="91"/>
      <c r="U926" s="101"/>
      <c r="V926" s="61"/>
      <c r="W926" s="61"/>
    </row>
    <row r="927" spans="3:23" x14ac:dyDescent="0.25">
      <c r="C927" s="127"/>
      <c r="D927" s="128"/>
      <c r="E927" s="128"/>
      <c r="F927" s="128"/>
      <c r="G927" s="128"/>
      <c r="H927" s="124"/>
      <c r="I927" s="124"/>
      <c r="K927" s="86"/>
      <c r="L927" s="87"/>
      <c r="O927" s="92"/>
      <c r="Q927" s="93"/>
      <c r="S927" s="100"/>
      <c r="T927" s="91"/>
      <c r="U927" s="101"/>
      <c r="V927" s="61"/>
      <c r="W927" s="61"/>
    </row>
    <row r="928" spans="3:23" x14ac:dyDescent="0.25">
      <c r="C928" s="125"/>
      <c r="D928" s="126"/>
      <c r="E928" s="126"/>
      <c r="F928" s="126"/>
      <c r="G928" s="126"/>
      <c r="H928" s="124"/>
      <c r="I928" s="124"/>
      <c r="K928" s="86"/>
      <c r="L928" s="87"/>
      <c r="O928" s="92"/>
      <c r="Q928" s="93"/>
      <c r="S928" s="100"/>
      <c r="T928" s="91"/>
      <c r="U928" s="101"/>
      <c r="V928" s="61"/>
      <c r="W928" s="61"/>
    </row>
    <row r="929" spans="3:23" x14ac:dyDescent="0.25">
      <c r="C929" s="127"/>
      <c r="D929" s="128"/>
      <c r="E929" s="128"/>
      <c r="F929" s="128"/>
      <c r="G929" s="128"/>
      <c r="H929" s="124"/>
      <c r="I929" s="124"/>
      <c r="K929" s="86"/>
      <c r="L929" s="87"/>
      <c r="O929" s="92"/>
      <c r="Q929" s="93"/>
      <c r="S929" s="100"/>
      <c r="T929" s="91"/>
      <c r="U929" s="101"/>
      <c r="V929" s="61"/>
      <c r="W929" s="61"/>
    </row>
    <row r="930" spans="3:23" x14ac:dyDescent="0.25">
      <c r="C930" s="125"/>
      <c r="D930" s="126"/>
      <c r="E930" s="126"/>
      <c r="F930" s="126"/>
      <c r="G930" s="126"/>
      <c r="H930" s="124"/>
      <c r="I930" s="124"/>
      <c r="K930" s="86"/>
      <c r="L930" s="87"/>
      <c r="O930" s="92"/>
      <c r="Q930" s="93"/>
      <c r="S930" s="100"/>
      <c r="T930" s="91"/>
      <c r="U930" s="101"/>
      <c r="V930" s="61"/>
      <c r="W930" s="61"/>
    </row>
    <row r="931" spans="3:23" x14ac:dyDescent="0.25">
      <c r="C931" s="127"/>
      <c r="D931" s="128"/>
      <c r="E931" s="128"/>
      <c r="F931" s="128"/>
      <c r="G931" s="128"/>
      <c r="H931" s="124"/>
      <c r="I931" s="124"/>
      <c r="K931" s="86"/>
      <c r="L931" s="87"/>
      <c r="O931" s="92"/>
      <c r="Q931" s="93"/>
      <c r="S931" s="100"/>
      <c r="T931" s="91"/>
      <c r="U931" s="101"/>
      <c r="V931" s="61"/>
      <c r="W931" s="61"/>
    </row>
    <row r="932" spans="3:23" x14ac:dyDescent="0.25">
      <c r="C932" s="125"/>
      <c r="D932" s="126"/>
      <c r="E932" s="126"/>
      <c r="F932" s="126"/>
      <c r="G932" s="126"/>
      <c r="H932" s="124"/>
      <c r="I932" s="124"/>
      <c r="K932" s="86"/>
      <c r="L932" s="87"/>
      <c r="O932" s="92"/>
      <c r="Q932" s="93"/>
      <c r="S932" s="100"/>
      <c r="T932" s="91"/>
      <c r="U932" s="101"/>
      <c r="V932" s="61"/>
      <c r="W932" s="61"/>
    </row>
    <row r="933" spans="3:23" x14ac:dyDescent="0.25">
      <c r="C933" s="127"/>
      <c r="D933" s="128"/>
      <c r="E933" s="128"/>
      <c r="F933" s="128"/>
      <c r="G933" s="128"/>
      <c r="H933" s="124"/>
      <c r="I933" s="124"/>
      <c r="K933" s="86"/>
      <c r="L933" s="87"/>
      <c r="O933" s="92"/>
      <c r="Q933" s="93"/>
      <c r="S933" s="100"/>
      <c r="T933" s="91"/>
      <c r="U933" s="101"/>
      <c r="V933" s="61"/>
      <c r="W933" s="61"/>
    </row>
    <row r="934" spans="3:23" x14ac:dyDescent="0.25">
      <c r="C934" s="125"/>
      <c r="D934" s="126"/>
      <c r="E934" s="126"/>
      <c r="F934" s="126"/>
      <c r="G934" s="126"/>
      <c r="H934" s="124"/>
      <c r="I934" s="124"/>
      <c r="K934" s="86"/>
      <c r="L934" s="87"/>
      <c r="O934" s="92"/>
      <c r="Q934" s="93"/>
      <c r="S934" s="100"/>
      <c r="T934" s="91"/>
      <c r="U934" s="101"/>
      <c r="V934" s="61"/>
      <c r="W934" s="61"/>
    </row>
    <row r="935" spans="3:23" x14ac:dyDescent="0.25">
      <c r="C935" s="127"/>
      <c r="D935" s="128"/>
      <c r="E935" s="128"/>
      <c r="F935" s="128"/>
      <c r="G935" s="128"/>
      <c r="H935" s="124"/>
      <c r="I935" s="124"/>
      <c r="K935" s="86"/>
      <c r="L935" s="87"/>
      <c r="O935" s="92"/>
      <c r="Q935" s="93"/>
      <c r="S935" s="100"/>
      <c r="T935" s="91"/>
      <c r="U935" s="101"/>
      <c r="V935" s="61"/>
      <c r="W935" s="61"/>
    </row>
    <row r="936" spans="3:23" x14ac:dyDescent="0.25">
      <c r="C936" s="125"/>
      <c r="D936" s="126"/>
      <c r="E936" s="126"/>
      <c r="F936" s="126"/>
      <c r="G936" s="126"/>
      <c r="H936" s="124"/>
      <c r="I936" s="124"/>
      <c r="K936" s="86"/>
      <c r="L936" s="87"/>
      <c r="O936" s="92"/>
      <c r="Q936" s="93"/>
      <c r="S936" s="100"/>
      <c r="T936" s="91"/>
      <c r="U936" s="101"/>
      <c r="V936" s="61"/>
      <c r="W936" s="61"/>
    </row>
    <row r="937" spans="3:23" x14ac:dyDescent="0.25">
      <c r="C937" s="127"/>
      <c r="D937" s="128"/>
      <c r="E937" s="128"/>
      <c r="F937" s="128"/>
      <c r="G937" s="128"/>
      <c r="H937" s="124"/>
      <c r="I937" s="124"/>
      <c r="K937" s="86"/>
      <c r="L937" s="87"/>
      <c r="O937" s="92"/>
      <c r="Q937" s="93"/>
      <c r="S937" s="100"/>
      <c r="T937" s="91"/>
      <c r="U937" s="101"/>
      <c r="V937" s="61"/>
      <c r="W937" s="61"/>
    </row>
    <row r="938" spans="3:23" x14ac:dyDescent="0.25">
      <c r="C938" s="125"/>
      <c r="D938" s="126"/>
      <c r="E938" s="126"/>
      <c r="F938" s="126"/>
      <c r="G938" s="126"/>
      <c r="H938" s="124"/>
      <c r="I938" s="124"/>
      <c r="K938" s="86"/>
      <c r="L938" s="87"/>
      <c r="O938" s="92"/>
      <c r="Q938" s="93"/>
      <c r="S938" s="100"/>
      <c r="T938" s="91"/>
      <c r="U938" s="101"/>
      <c r="V938" s="61"/>
      <c r="W938" s="61"/>
    </row>
    <row r="939" spans="3:23" x14ac:dyDescent="0.25">
      <c r="C939" s="127"/>
      <c r="D939" s="128"/>
      <c r="E939" s="128"/>
      <c r="F939" s="128"/>
      <c r="G939" s="128"/>
      <c r="H939" s="124"/>
      <c r="I939" s="124"/>
      <c r="K939" s="86"/>
      <c r="L939" s="87"/>
      <c r="O939" s="92"/>
      <c r="Q939" s="93"/>
      <c r="S939" s="100"/>
      <c r="T939" s="91"/>
      <c r="U939" s="101"/>
      <c r="V939" s="61"/>
      <c r="W939" s="61"/>
    </row>
    <row r="940" spans="3:23" x14ac:dyDescent="0.25">
      <c r="C940" s="125"/>
      <c r="D940" s="126"/>
      <c r="E940" s="126"/>
      <c r="F940" s="126"/>
      <c r="G940" s="126"/>
      <c r="H940" s="124"/>
      <c r="I940" s="124"/>
      <c r="K940" s="86"/>
      <c r="L940" s="87"/>
      <c r="O940" s="92"/>
      <c r="Q940" s="93"/>
      <c r="S940" s="100"/>
      <c r="T940" s="91"/>
      <c r="U940" s="101"/>
      <c r="V940" s="61"/>
      <c r="W940" s="61"/>
    </row>
    <row r="941" spans="3:23" x14ac:dyDescent="0.25">
      <c r="C941" s="127"/>
      <c r="D941" s="128"/>
      <c r="E941" s="128"/>
      <c r="F941" s="128"/>
      <c r="G941" s="128"/>
      <c r="H941" s="124"/>
      <c r="I941" s="124"/>
      <c r="K941" s="86"/>
      <c r="L941" s="87"/>
      <c r="O941" s="92"/>
      <c r="Q941" s="93"/>
      <c r="S941" s="100"/>
      <c r="T941" s="91"/>
      <c r="U941" s="101"/>
      <c r="V941" s="61"/>
      <c r="W941" s="61"/>
    </row>
    <row r="942" spans="3:23" x14ac:dyDescent="0.25">
      <c r="C942" s="125"/>
      <c r="D942" s="126"/>
      <c r="E942" s="126"/>
      <c r="F942" s="126"/>
      <c r="G942" s="126"/>
      <c r="H942" s="124"/>
      <c r="I942" s="124"/>
      <c r="K942" s="86"/>
      <c r="L942" s="87"/>
      <c r="O942" s="92"/>
      <c r="Q942" s="93"/>
      <c r="S942" s="100"/>
      <c r="T942" s="91"/>
      <c r="U942" s="101"/>
      <c r="V942" s="61"/>
      <c r="W942" s="61"/>
    </row>
    <row r="943" spans="3:23" x14ac:dyDescent="0.25">
      <c r="C943" s="127"/>
      <c r="D943" s="128"/>
      <c r="E943" s="128"/>
      <c r="F943" s="128"/>
      <c r="G943" s="128"/>
      <c r="H943" s="124"/>
      <c r="I943" s="124"/>
      <c r="K943" s="86"/>
      <c r="L943" s="87"/>
      <c r="O943" s="92"/>
      <c r="Q943" s="93"/>
      <c r="S943" s="100"/>
      <c r="T943" s="91"/>
      <c r="U943" s="101"/>
      <c r="V943" s="61"/>
      <c r="W943" s="61"/>
    </row>
    <row r="944" spans="3:23" x14ac:dyDescent="0.25">
      <c r="C944" s="125"/>
      <c r="D944" s="126"/>
      <c r="E944" s="126"/>
      <c r="F944" s="126"/>
      <c r="G944" s="126"/>
      <c r="H944" s="124"/>
      <c r="I944" s="124"/>
      <c r="K944" s="86"/>
      <c r="L944" s="87"/>
      <c r="O944" s="92"/>
      <c r="Q944" s="93"/>
      <c r="S944" s="100"/>
      <c r="T944" s="91"/>
      <c r="U944" s="101"/>
      <c r="V944" s="61"/>
      <c r="W944" s="61"/>
    </row>
    <row r="945" spans="3:23" x14ac:dyDescent="0.25">
      <c r="C945" s="127"/>
      <c r="D945" s="128"/>
      <c r="E945" s="128"/>
      <c r="F945" s="128"/>
      <c r="G945" s="128"/>
      <c r="H945" s="124"/>
      <c r="I945" s="124"/>
      <c r="K945" s="86"/>
      <c r="L945" s="87"/>
      <c r="O945" s="92"/>
      <c r="Q945" s="93"/>
      <c r="S945" s="100"/>
      <c r="T945" s="91"/>
      <c r="U945" s="101"/>
      <c r="V945" s="61"/>
      <c r="W945" s="61"/>
    </row>
    <row r="946" spans="3:23" x14ac:dyDescent="0.25">
      <c r="C946" s="125"/>
      <c r="D946" s="126"/>
      <c r="E946" s="126"/>
      <c r="F946" s="126"/>
      <c r="G946" s="126"/>
      <c r="H946" s="124"/>
      <c r="I946" s="124"/>
      <c r="K946" s="86"/>
      <c r="L946" s="87"/>
      <c r="O946" s="92"/>
      <c r="Q946" s="93"/>
      <c r="S946" s="100"/>
      <c r="T946" s="91"/>
      <c r="U946" s="101"/>
      <c r="V946" s="61"/>
      <c r="W946" s="61"/>
    </row>
    <row r="947" spans="3:23" x14ac:dyDescent="0.25">
      <c r="C947" s="127"/>
      <c r="D947" s="128"/>
      <c r="E947" s="128"/>
      <c r="F947" s="128"/>
      <c r="G947" s="128"/>
      <c r="H947" s="124"/>
      <c r="I947" s="124"/>
      <c r="K947" s="86"/>
      <c r="L947" s="87"/>
      <c r="O947" s="92"/>
      <c r="Q947" s="93"/>
      <c r="S947" s="100"/>
      <c r="T947" s="91"/>
      <c r="U947" s="101"/>
      <c r="V947" s="61"/>
      <c r="W947" s="61"/>
    </row>
    <row r="948" spans="3:23" x14ac:dyDescent="0.25">
      <c r="C948" s="125"/>
      <c r="D948" s="126"/>
      <c r="E948" s="126"/>
      <c r="F948" s="126"/>
      <c r="G948" s="126"/>
      <c r="H948" s="124"/>
      <c r="I948" s="124"/>
      <c r="K948" s="86"/>
      <c r="L948" s="87"/>
      <c r="O948" s="92"/>
      <c r="Q948" s="93"/>
      <c r="S948" s="100"/>
      <c r="T948" s="91"/>
      <c r="U948" s="101"/>
      <c r="V948" s="61"/>
      <c r="W948" s="61"/>
    </row>
    <row r="949" spans="3:23" x14ac:dyDescent="0.25">
      <c r="C949" s="127"/>
      <c r="D949" s="128"/>
      <c r="E949" s="128"/>
      <c r="F949" s="128"/>
      <c r="G949" s="128"/>
      <c r="H949" s="124"/>
      <c r="I949" s="124"/>
      <c r="K949" s="86"/>
      <c r="L949" s="87"/>
      <c r="O949" s="92"/>
      <c r="Q949" s="93"/>
      <c r="S949" s="100"/>
      <c r="T949" s="91"/>
      <c r="U949" s="101"/>
      <c r="V949" s="61"/>
      <c r="W949" s="61"/>
    </row>
    <row r="950" spans="3:23" x14ac:dyDescent="0.25">
      <c r="C950" s="125"/>
      <c r="D950" s="126"/>
      <c r="E950" s="126"/>
      <c r="F950" s="126"/>
      <c r="G950" s="126"/>
      <c r="H950" s="124"/>
      <c r="I950" s="124"/>
      <c r="K950" s="86"/>
      <c r="L950" s="87"/>
      <c r="O950" s="92"/>
      <c r="Q950" s="93"/>
      <c r="S950" s="100"/>
      <c r="T950" s="91"/>
      <c r="U950" s="101"/>
      <c r="V950" s="61"/>
      <c r="W950" s="61"/>
    </row>
    <row r="951" spans="3:23" x14ac:dyDescent="0.25">
      <c r="C951" s="127"/>
      <c r="D951" s="128"/>
      <c r="E951" s="128"/>
      <c r="F951" s="128"/>
      <c r="G951" s="128"/>
      <c r="H951" s="124"/>
      <c r="I951" s="124"/>
      <c r="K951" s="86"/>
      <c r="L951" s="87"/>
      <c r="O951" s="92"/>
      <c r="Q951" s="93"/>
      <c r="S951" s="100"/>
      <c r="T951" s="91"/>
      <c r="U951" s="101"/>
      <c r="V951" s="61"/>
      <c r="W951" s="61"/>
    </row>
    <row r="952" spans="3:23" x14ac:dyDescent="0.25">
      <c r="C952" s="125"/>
      <c r="D952" s="126"/>
      <c r="E952" s="126"/>
      <c r="F952" s="126"/>
      <c r="G952" s="126"/>
      <c r="H952" s="124"/>
      <c r="I952" s="124"/>
      <c r="K952" s="86"/>
      <c r="L952" s="87"/>
      <c r="O952" s="92"/>
      <c r="Q952" s="93"/>
      <c r="S952" s="100"/>
      <c r="T952" s="91"/>
      <c r="U952" s="101"/>
      <c r="V952" s="61"/>
      <c r="W952" s="61"/>
    </row>
    <row r="953" spans="3:23" x14ac:dyDescent="0.25">
      <c r="C953" s="127"/>
      <c r="D953" s="128"/>
      <c r="E953" s="128"/>
      <c r="F953" s="128"/>
      <c r="G953" s="128"/>
      <c r="H953" s="124"/>
      <c r="I953" s="124"/>
      <c r="K953" s="86"/>
      <c r="L953" s="87"/>
      <c r="O953" s="92"/>
      <c r="Q953" s="93"/>
      <c r="S953" s="100"/>
      <c r="T953" s="91"/>
      <c r="U953" s="101"/>
      <c r="V953" s="61"/>
      <c r="W953" s="61"/>
    </row>
    <row r="954" spans="3:23" x14ac:dyDescent="0.25">
      <c r="C954" s="125"/>
      <c r="D954" s="126"/>
      <c r="E954" s="126"/>
      <c r="F954" s="126"/>
      <c r="G954" s="126"/>
      <c r="H954" s="124"/>
      <c r="I954" s="124"/>
      <c r="K954" s="86"/>
      <c r="L954" s="87"/>
      <c r="O954" s="92"/>
      <c r="Q954" s="93"/>
      <c r="S954" s="100"/>
      <c r="T954" s="91"/>
      <c r="U954" s="101"/>
      <c r="V954" s="61"/>
      <c r="W954" s="61"/>
    </row>
    <row r="955" spans="3:23" x14ac:dyDescent="0.25">
      <c r="C955" s="127"/>
      <c r="D955" s="128"/>
      <c r="E955" s="128"/>
      <c r="F955" s="128"/>
      <c r="G955" s="128"/>
      <c r="H955" s="124"/>
      <c r="I955" s="124"/>
      <c r="K955" s="86"/>
      <c r="L955" s="87"/>
      <c r="O955" s="92"/>
      <c r="Q955" s="93"/>
      <c r="S955" s="100"/>
      <c r="T955" s="91"/>
      <c r="U955" s="101"/>
      <c r="V955" s="61"/>
      <c r="W955" s="61"/>
    </row>
    <row r="956" spans="3:23" x14ac:dyDescent="0.25">
      <c r="C956" s="125"/>
      <c r="D956" s="126"/>
      <c r="E956" s="126"/>
      <c r="F956" s="126"/>
      <c r="G956" s="126"/>
      <c r="H956" s="124"/>
      <c r="I956" s="124"/>
      <c r="K956" s="86"/>
      <c r="L956" s="87"/>
      <c r="O956" s="92"/>
      <c r="Q956" s="93"/>
      <c r="S956" s="100"/>
      <c r="T956" s="91"/>
      <c r="U956" s="101"/>
      <c r="V956" s="61"/>
      <c r="W956" s="61"/>
    </row>
    <row r="957" spans="3:23" x14ac:dyDescent="0.25">
      <c r="C957" s="127"/>
      <c r="D957" s="128"/>
      <c r="E957" s="128"/>
      <c r="F957" s="128"/>
      <c r="G957" s="128"/>
      <c r="H957" s="124"/>
      <c r="I957" s="124"/>
      <c r="K957" s="86"/>
      <c r="L957" s="87"/>
      <c r="O957" s="92"/>
      <c r="Q957" s="93"/>
      <c r="S957" s="100"/>
      <c r="T957" s="91"/>
      <c r="U957" s="101"/>
      <c r="V957" s="61"/>
      <c r="W957" s="61"/>
    </row>
    <row r="958" spans="3:23" x14ac:dyDescent="0.25">
      <c r="C958" s="125"/>
      <c r="D958" s="126"/>
      <c r="E958" s="126"/>
      <c r="F958" s="126"/>
      <c r="G958" s="126"/>
      <c r="H958" s="124"/>
      <c r="I958" s="124"/>
      <c r="K958" s="86"/>
      <c r="L958" s="87"/>
      <c r="O958" s="92"/>
      <c r="Q958" s="93"/>
      <c r="S958" s="100"/>
      <c r="T958" s="91"/>
      <c r="U958" s="101"/>
      <c r="V958" s="61"/>
      <c r="W958" s="61"/>
    </row>
    <row r="959" spans="3:23" x14ac:dyDescent="0.25">
      <c r="C959" s="127"/>
      <c r="D959" s="128"/>
      <c r="E959" s="128"/>
      <c r="F959" s="128"/>
      <c r="G959" s="128"/>
      <c r="H959" s="124"/>
      <c r="I959" s="124"/>
      <c r="K959" s="86"/>
      <c r="L959" s="87"/>
      <c r="O959" s="92"/>
      <c r="Q959" s="93"/>
      <c r="S959" s="100"/>
      <c r="T959" s="91"/>
      <c r="U959" s="101"/>
      <c r="V959" s="61"/>
      <c r="W959" s="61"/>
    </row>
    <row r="960" spans="3:23" x14ac:dyDescent="0.25">
      <c r="C960" s="125"/>
      <c r="D960" s="126"/>
      <c r="E960" s="126"/>
      <c r="F960" s="126"/>
      <c r="G960" s="126"/>
      <c r="H960" s="124"/>
      <c r="I960" s="124"/>
      <c r="K960" s="86"/>
      <c r="L960" s="87"/>
      <c r="O960" s="92"/>
      <c r="Q960" s="93"/>
      <c r="S960" s="100"/>
      <c r="T960" s="91"/>
      <c r="U960" s="101"/>
      <c r="V960" s="61"/>
      <c r="W960" s="61"/>
    </row>
    <row r="961" spans="3:23" x14ac:dyDescent="0.25">
      <c r="C961" s="127"/>
      <c r="D961" s="128"/>
      <c r="E961" s="128"/>
      <c r="F961" s="128"/>
      <c r="G961" s="128"/>
      <c r="H961" s="124"/>
      <c r="I961" s="124"/>
      <c r="K961" s="86"/>
      <c r="L961" s="87"/>
      <c r="O961" s="92"/>
      <c r="Q961" s="93"/>
      <c r="S961" s="100"/>
      <c r="T961" s="91"/>
      <c r="U961" s="101"/>
      <c r="V961" s="61"/>
      <c r="W961" s="61"/>
    </row>
    <row r="962" spans="3:23" x14ac:dyDescent="0.25">
      <c r="C962" s="125"/>
      <c r="D962" s="126"/>
      <c r="E962" s="126"/>
      <c r="F962" s="126"/>
      <c r="G962" s="126"/>
      <c r="H962" s="124"/>
      <c r="I962" s="124"/>
      <c r="K962" s="86"/>
      <c r="L962" s="87"/>
      <c r="O962" s="92"/>
      <c r="Q962" s="93"/>
      <c r="S962" s="100"/>
      <c r="T962" s="91"/>
      <c r="U962" s="101"/>
      <c r="V962" s="61"/>
      <c r="W962" s="61"/>
    </row>
    <row r="963" spans="3:23" x14ac:dyDescent="0.25">
      <c r="C963" s="127"/>
      <c r="D963" s="128"/>
      <c r="E963" s="128"/>
      <c r="F963" s="128"/>
      <c r="G963" s="128"/>
      <c r="H963" s="124"/>
      <c r="I963" s="124"/>
      <c r="K963" s="86"/>
      <c r="L963" s="87"/>
      <c r="O963" s="92"/>
      <c r="Q963" s="93"/>
      <c r="S963" s="100"/>
      <c r="T963" s="91"/>
      <c r="U963" s="101"/>
      <c r="V963" s="61"/>
      <c r="W963" s="61"/>
    </row>
    <row r="964" spans="3:23" x14ac:dyDescent="0.25">
      <c r="C964" s="125"/>
      <c r="D964" s="126"/>
      <c r="E964" s="126"/>
      <c r="F964" s="126"/>
      <c r="G964" s="126"/>
      <c r="H964" s="124"/>
      <c r="I964" s="124"/>
      <c r="K964" s="86"/>
      <c r="L964" s="87"/>
      <c r="O964" s="92"/>
      <c r="Q964" s="93"/>
      <c r="S964" s="100"/>
      <c r="T964" s="91"/>
      <c r="U964" s="101"/>
      <c r="V964" s="61"/>
      <c r="W964" s="61"/>
    </row>
    <row r="965" spans="3:23" x14ac:dyDescent="0.25">
      <c r="C965" s="127"/>
      <c r="D965" s="128"/>
      <c r="E965" s="128"/>
      <c r="F965" s="128"/>
      <c r="G965" s="128"/>
      <c r="H965" s="124"/>
      <c r="I965" s="124"/>
      <c r="K965" s="86"/>
      <c r="L965" s="87"/>
      <c r="O965" s="92"/>
      <c r="Q965" s="93"/>
      <c r="S965" s="100"/>
      <c r="T965" s="91"/>
      <c r="U965" s="101"/>
      <c r="V965" s="61"/>
      <c r="W965" s="61"/>
    </row>
    <row r="966" spans="3:23" x14ac:dyDescent="0.25">
      <c r="C966" s="125"/>
      <c r="D966" s="126"/>
      <c r="E966" s="126"/>
      <c r="F966" s="126"/>
      <c r="G966" s="126"/>
      <c r="H966" s="124"/>
      <c r="I966" s="124"/>
      <c r="K966" s="86"/>
      <c r="L966" s="87"/>
      <c r="O966" s="92"/>
      <c r="Q966" s="93"/>
      <c r="S966" s="100"/>
      <c r="T966" s="91"/>
      <c r="U966" s="101"/>
      <c r="V966" s="61"/>
      <c r="W966" s="61"/>
    </row>
    <row r="967" spans="3:23" x14ac:dyDescent="0.25">
      <c r="C967" s="127"/>
      <c r="D967" s="128"/>
      <c r="E967" s="128"/>
      <c r="F967" s="128"/>
      <c r="G967" s="128"/>
      <c r="H967" s="124"/>
      <c r="I967" s="124"/>
      <c r="K967" s="86"/>
      <c r="L967" s="87"/>
      <c r="O967" s="92"/>
      <c r="Q967" s="93"/>
      <c r="S967" s="100"/>
      <c r="T967" s="91"/>
      <c r="U967" s="101"/>
      <c r="V967" s="61"/>
      <c r="W967" s="61"/>
    </row>
    <row r="968" spans="3:23" x14ac:dyDescent="0.25">
      <c r="C968" s="125"/>
      <c r="D968" s="126"/>
      <c r="E968" s="126"/>
      <c r="F968" s="126"/>
      <c r="G968" s="126"/>
      <c r="H968" s="124"/>
      <c r="I968" s="124"/>
      <c r="K968" s="86"/>
      <c r="L968" s="87"/>
      <c r="O968" s="92"/>
      <c r="Q968" s="93"/>
      <c r="S968" s="100"/>
      <c r="T968" s="91"/>
      <c r="U968" s="101"/>
      <c r="V968" s="61"/>
      <c r="W968" s="61"/>
    </row>
    <row r="969" spans="3:23" x14ac:dyDescent="0.25">
      <c r="C969" s="127"/>
      <c r="D969" s="128"/>
      <c r="E969" s="128"/>
      <c r="F969" s="128"/>
      <c r="G969" s="128"/>
      <c r="H969" s="124"/>
      <c r="I969" s="124"/>
      <c r="K969" s="86"/>
      <c r="L969" s="87"/>
      <c r="O969" s="92"/>
      <c r="Q969" s="93"/>
      <c r="S969" s="100"/>
      <c r="T969" s="91"/>
      <c r="U969" s="101"/>
      <c r="V969" s="61"/>
      <c r="W969" s="61"/>
    </row>
    <row r="970" spans="3:23" x14ac:dyDescent="0.25">
      <c r="C970" s="125"/>
      <c r="D970" s="126"/>
      <c r="E970" s="126"/>
      <c r="F970" s="126"/>
      <c r="G970" s="126"/>
      <c r="H970" s="124"/>
      <c r="I970" s="124"/>
      <c r="K970" s="86"/>
      <c r="L970" s="87"/>
      <c r="O970" s="92"/>
      <c r="Q970" s="93"/>
      <c r="S970" s="100"/>
      <c r="T970" s="91"/>
      <c r="U970" s="101"/>
      <c r="V970" s="61"/>
      <c r="W970" s="61"/>
    </row>
    <row r="971" spans="3:23" x14ac:dyDescent="0.25">
      <c r="C971" s="127"/>
      <c r="D971" s="128"/>
      <c r="E971" s="128"/>
      <c r="F971" s="128"/>
      <c r="G971" s="128"/>
      <c r="H971" s="124"/>
      <c r="I971" s="124"/>
      <c r="K971" s="86"/>
      <c r="L971" s="87"/>
      <c r="O971" s="92"/>
      <c r="Q971" s="93"/>
      <c r="S971" s="100"/>
      <c r="T971" s="91"/>
      <c r="U971" s="101"/>
      <c r="V971" s="61"/>
      <c r="W971" s="61"/>
    </row>
    <row r="972" spans="3:23" x14ac:dyDescent="0.25">
      <c r="C972" s="125"/>
      <c r="D972" s="126"/>
      <c r="E972" s="126"/>
      <c r="F972" s="126"/>
      <c r="G972" s="126"/>
      <c r="H972" s="124"/>
      <c r="I972" s="124"/>
      <c r="K972" s="86"/>
      <c r="L972" s="87"/>
      <c r="O972" s="92"/>
      <c r="Q972" s="93"/>
      <c r="S972" s="100"/>
      <c r="T972" s="91"/>
      <c r="U972" s="101"/>
      <c r="V972" s="61"/>
      <c r="W972" s="61"/>
    </row>
    <row r="973" spans="3:23" x14ac:dyDescent="0.25">
      <c r="C973" s="127"/>
      <c r="D973" s="128"/>
      <c r="E973" s="128"/>
      <c r="F973" s="128"/>
      <c r="G973" s="128"/>
      <c r="H973" s="124"/>
      <c r="I973" s="124"/>
      <c r="K973" s="86"/>
      <c r="L973" s="87"/>
      <c r="O973" s="92"/>
      <c r="Q973" s="93"/>
      <c r="S973" s="100"/>
      <c r="T973" s="91"/>
      <c r="U973" s="101"/>
      <c r="V973" s="61"/>
      <c r="W973" s="61"/>
    </row>
    <row r="974" spans="3:23" x14ac:dyDescent="0.25">
      <c r="C974" s="125"/>
      <c r="D974" s="126"/>
      <c r="E974" s="126"/>
      <c r="F974" s="126"/>
      <c r="G974" s="126"/>
      <c r="H974" s="124"/>
      <c r="I974" s="124"/>
      <c r="K974" s="86"/>
      <c r="L974" s="87"/>
      <c r="O974" s="92"/>
      <c r="Q974" s="93"/>
      <c r="S974" s="100"/>
      <c r="T974" s="91"/>
      <c r="U974" s="101"/>
      <c r="V974" s="61"/>
      <c r="W974" s="61"/>
    </row>
    <row r="975" spans="3:23" x14ac:dyDescent="0.25">
      <c r="C975" s="127"/>
      <c r="D975" s="128"/>
      <c r="E975" s="128"/>
      <c r="F975" s="128"/>
      <c r="G975" s="128"/>
      <c r="H975" s="124"/>
      <c r="I975" s="124"/>
      <c r="K975" s="86"/>
      <c r="L975" s="87"/>
      <c r="O975" s="92"/>
      <c r="Q975" s="93"/>
      <c r="S975" s="100"/>
      <c r="T975" s="91"/>
      <c r="U975" s="101"/>
      <c r="V975" s="61"/>
      <c r="W975" s="61"/>
    </row>
    <row r="976" spans="3:23" x14ac:dyDescent="0.25">
      <c r="C976" s="125"/>
      <c r="D976" s="126"/>
      <c r="E976" s="126"/>
      <c r="F976" s="126"/>
      <c r="G976" s="126"/>
      <c r="H976" s="124"/>
      <c r="I976" s="124"/>
      <c r="K976" s="86"/>
      <c r="L976" s="87"/>
      <c r="O976" s="92"/>
      <c r="Q976" s="93"/>
      <c r="S976" s="100"/>
      <c r="T976" s="91"/>
      <c r="U976" s="101"/>
      <c r="V976" s="61"/>
      <c r="W976" s="61"/>
    </row>
    <row r="977" spans="3:23" x14ac:dyDescent="0.25">
      <c r="C977" s="127"/>
      <c r="D977" s="128"/>
      <c r="E977" s="128"/>
      <c r="F977" s="128"/>
      <c r="G977" s="128"/>
      <c r="H977" s="124"/>
      <c r="I977" s="124"/>
      <c r="K977" s="86"/>
      <c r="L977" s="87"/>
      <c r="O977" s="92"/>
      <c r="Q977" s="93"/>
      <c r="S977" s="100"/>
      <c r="T977" s="91"/>
      <c r="U977" s="101"/>
      <c r="V977" s="61"/>
      <c r="W977" s="61"/>
    </row>
    <row r="978" spans="3:23" x14ac:dyDescent="0.25">
      <c r="C978" s="125"/>
      <c r="D978" s="126"/>
      <c r="E978" s="126"/>
      <c r="F978" s="126"/>
      <c r="G978" s="126"/>
      <c r="H978" s="124"/>
      <c r="I978" s="124"/>
      <c r="K978" s="86"/>
      <c r="L978" s="87"/>
      <c r="O978" s="92"/>
      <c r="Q978" s="93"/>
      <c r="S978" s="100"/>
      <c r="T978" s="91"/>
      <c r="U978" s="101"/>
      <c r="V978" s="61"/>
      <c r="W978" s="61"/>
    </row>
    <row r="979" spans="3:23" x14ac:dyDescent="0.25">
      <c r="C979" s="127"/>
      <c r="D979" s="128"/>
      <c r="E979" s="128"/>
      <c r="F979" s="128"/>
      <c r="G979" s="128"/>
      <c r="H979" s="124"/>
      <c r="I979" s="124"/>
      <c r="K979" s="86"/>
      <c r="L979" s="87"/>
      <c r="O979" s="92"/>
      <c r="Q979" s="93"/>
      <c r="S979" s="100"/>
      <c r="T979" s="91"/>
      <c r="U979" s="101"/>
      <c r="V979" s="61"/>
      <c r="W979" s="61"/>
    </row>
    <row r="980" spans="3:23" x14ac:dyDescent="0.25">
      <c r="C980" s="125"/>
      <c r="D980" s="126"/>
      <c r="E980" s="126"/>
      <c r="F980" s="126"/>
      <c r="G980" s="126"/>
      <c r="H980" s="124"/>
      <c r="I980" s="124"/>
      <c r="K980" s="86"/>
      <c r="L980" s="87"/>
      <c r="O980" s="92"/>
      <c r="Q980" s="93"/>
      <c r="S980" s="100"/>
      <c r="T980" s="91"/>
      <c r="U980" s="101"/>
      <c r="V980" s="61"/>
      <c r="W980" s="61"/>
    </row>
    <row r="981" spans="3:23" x14ac:dyDescent="0.25">
      <c r="C981" s="127"/>
      <c r="D981" s="128"/>
      <c r="E981" s="128"/>
      <c r="F981" s="128"/>
      <c r="G981" s="128"/>
      <c r="H981" s="124"/>
      <c r="I981" s="124"/>
      <c r="K981" s="86"/>
      <c r="L981" s="87"/>
      <c r="O981" s="92"/>
      <c r="Q981" s="93"/>
      <c r="S981" s="100"/>
      <c r="T981" s="91"/>
      <c r="U981" s="101"/>
      <c r="V981" s="61"/>
      <c r="W981" s="61"/>
    </row>
    <row r="982" spans="3:23" x14ac:dyDescent="0.25">
      <c r="C982" s="125"/>
      <c r="D982" s="126"/>
      <c r="E982" s="126"/>
      <c r="F982" s="126"/>
      <c r="G982" s="126"/>
      <c r="H982" s="124"/>
      <c r="I982" s="124"/>
      <c r="K982" s="86"/>
      <c r="L982" s="87"/>
      <c r="O982" s="92"/>
      <c r="Q982" s="93"/>
      <c r="S982" s="100"/>
      <c r="T982" s="91"/>
      <c r="U982" s="101"/>
      <c r="V982" s="61"/>
      <c r="W982" s="61"/>
    </row>
    <row r="983" spans="3:23" x14ac:dyDescent="0.25">
      <c r="C983" s="127"/>
      <c r="D983" s="128"/>
      <c r="E983" s="128"/>
      <c r="F983" s="128"/>
      <c r="G983" s="128"/>
      <c r="H983" s="124"/>
      <c r="I983" s="124"/>
      <c r="K983" s="86"/>
      <c r="L983" s="87"/>
      <c r="O983" s="92"/>
      <c r="Q983" s="93"/>
      <c r="S983" s="100"/>
      <c r="T983" s="91"/>
      <c r="U983" s="101"/>
      <c r="V983" s="61"/>
      <c r="W983" s="61"/>
    </row>
    <row r="984" spans="3:23" x14ac:dyDescent="0.25">
      <c r="C984" s="125"/>
      <c r="D984" s="126"/>
      <c r="E984" s="126"/>
      <c r="F984" s="126"/>
      <c r="G984" s="126"/>
      <c r="H984" s="124"/>
      <c r="I984" s="124"/>
      <c r="K984" s="86"/>
      <c r="L984" s="87"/>
      <c r="O984" s="92"/>
      <c r="Q984" s="93"/>
      <c r="S984" s="100"/>
      <c r="T984" s="91"/>
      <c r="U984" s="101"/>
      <c r="V984" s="61"/>
      <c r="W984" s="61"/>
    </row>
    <row r="985" spans="3:23" x14ac:dyDescent="0.25">
      <c r="C985" s="127"/>
      <c r="D985" s="128"/>
      <c r="E985" s="128"/>
      <c r="F985" s="128"/>
      <c r="G985" s="128"/>
      <c r="H985" s="124"/>
      <c r="I985" s="124"/>
      <c r="K985" s="86"/>
      <c r="L985" s="87"/>
      <c r="O985" s="92"/>
      <c r="Q985" s="93"/>
      <c r="S985" s="100"/>
      <c r="T985" s="91"/>
      <c r="U985" s="101"/>
      <c r="V985" s="61"/>
      <c r="W985" s="61"/>
    </row>
    <row r="986" spans="3:23" x14ac:dyDescent="0.25">
      <c r="C986" s="125"/>
      <c r="D986" s="126"/>
      <c r="E986" s="126"/>
      <c r="F986" s="126"/>
      <c r="G986" s="126"/>
      <c r="H986" s="124"/>
      <c r="I986" s="124"/>
      <c r="K986" s="86"/>
      <c r="L986" s="87"/>
      <c r="O986" s="92"/>
      <c r="Q986" s="93"/>
      <c r="S986" s="100"/>
      <c r="T986" s="91"/>
      <c r="U986" s="101"/>
      <c r="V986" s="61"/>
      <c r="W986" s="61"/>
    </row>
    <row r="987" spans="3:23" x14ac:dyDescent="0.25">
      <c r="C987" s="127"/>
      <c r="D987" s="128"/>
      <c r="E987" s="128"/>
      <c r="F987" s="128"/>
      <c r="G987" s="128"/>
      <c r="H987" s="124"/>
      <c r="I987" s="124"/>
      <c r="K987" s="86"/>
      <c r="L987" s="87"/>
      <c r="O987" s="92"/>
      <c r="Q987" s="93"/>
      <c r="S987" s="100"/>
      <c r="T987" s="91"/>
      <c r="U987" s="101"/>
      <c r="V987" s="61"/>
      <c r="W987" s="61"/>
    </row>
    <row r="988" spans="3:23" x14ac:dyDescent="0.25">
      <c r="C988" s="125"/>
      <c r="D988" s="126"/>
      <c r="E988" s="126"/>
      <c r="F988" s="126"/>
      <c r="G988" s="126"/>
      <c r="H988" s="124"/>
      <c r="I988" s="124"/>
      <c r="K988" s="86"/>
      <c r="L988" s="87"/>
      <c r="O988" s="92"/>
      <c r="Q988" s="93"/>
      <c r="S988" s="100"/>
      <c r="T988" s="91"/>
      <c r="U988" s="101"/>
      <c r="V988" s="61"/>
      <c r="W988" s="61"/>
    </row>
    <row r="989" spans="3:23" x14ac:dyDescent="0.25">
      <c r="C989" s="127"/>
      <c r="D989" s="128"/>
      <c r="E989" s="128"/>
      <c r="F989" s="128"/>
      <c r="G989" s="128"/>
      <c r="H989" s="124"/>
      <c r="I989" s="124"/>
      <c r="K989" s="86"/>
      <c r="L989" s="87"/>
      <c r="O989" s="92"/>
      <c r="Q989" s="93"/>
      <c r="S989" s="100"/>
      <c r="T989" s="91"/>
      <c r="U989" s="101"/>
      <c r="V989" s="61"/>
      <c r="W989" s="61"/>
    </row>
    <row r="990" spans="3:23" x14ac:dyDescent="0.25">
      <c r="C990" s="125"/>
      <c r="D990" s="126"/>
      <c r="E990" s="126"/>
      <c r="F990" s="126"/>
      <c r="G990" s="126"/>
      <c r="H990" s="124"/>
      <c r="I990" s="124"/>
      <c r="K990" s="86"/>
      <c r="L990" s="87"/>
      <c r="O990" s="92"/>
      <c r="Q990" s="93"/>
      <c r="S990" s="100"/>
      <c r="T990" s="91"/>
      <c r="U990" s="101"/>
      <c r="V990" s="61"/>
      <c r="W990" s="61"/>
    </row>
    <row r="991" spans="3:23" x14ac:dyDescent="0.25">
      <c r="C991" s="127"/>
      <c r="D991" s="128"/>
      <c r="E991" s="128"/>
      <c r="F991" s="128"/>
      <c r="G991" s="128"/>
      <c r="H991" s="124"/>
      <c r="I991" s="124"/>
      <c r="K991" s="86"/>
      <c r="L991" s="87"/>
      <c r="O991" s="92"/>
      <c r="Q991" s="93"/>
      <c r="S991" s="100"/>
      <c r="T991" s="91"/>
      <c r="U991" s="101"/>
      <c r="V991" s="61"/>
      <c r="W991" s="61"/>
    </row>
    <row r="992" spans="3:23" x14ac:dyDescent="0.25">
      <c r="C992" s="125"/>
      <c r="D992" s="126"/>
      <c r="E992" s="126"/>
      <c r="F992" s="126"/>
      <c r="G992" s="126"/>
      <c r="H992" s="124"/>
      <c r="I992" s="124"/>
      <c r="K992" s="86"/>
      <c r="L992" s="87"/>
      <c r="O992" s="92"/>
      <c r="Q992" s="93"/>
      <c r="S992" s="100"/>
      <c r="T992" s="91"/>
      <c r="U992" s="101"/>
      <c r="V992" s="61"/>
      <c r="W992" s="61"/>
    </row>
    <row r="993" spans="3:23" x14ac:dyDescent="0.25">
      <c r="C993" s="127"/>
      <c r="D993" s="128"/>
      <c r="E993" s="128"/>
      <c r="F993" s="128"/>
      <c r="G993" s="128"/>
      <c r="H993" s="124"/>
      <c r="I993" s="124"/>
      <c r="K993" s="86"/>
      <c r="L993" s="87"/>
      <c r="O993" s="92"/>
      <c r="Q993" s="93"/>
      <c r="S993" s="100"/>
      <c r="T993" s="91"/>
      <c r="U993" s="101"/>
      <c r="V993" s="61"/>
      <c r="W993" s="61"/>
    </row>
    <row r="994" spans="3:23" x14ac:dyDescent="0.25">
      <c r="C994" s="125"/>
      <c r="D994" s="126"/>
      <c r="E994" s="126"/>
      <c r="F994" s="126"/>
      <c r="G994" s="126"/>
      <c r="H994" s="124"/>
      <c r="I994" s="124"/>
      <c r="K994" s="86"/>
      <c r="L994" s="87"/>
      <c r="O994" s="92"/>
      <c r="Q994" s="93"/>
      <c r="S994" s="100"/>
      <c r="T994" s="91"/>
      <c r="U994" s="101"/>
      <c r="V994" s="61"/>
      <c r="W994" s="61"/>
    </row>
    <row r="995" spans="3:23" x14ac:dyDescent="0.25">
      <c r="C995" s="127"/>
      <c r="D995" s="128"/>
      <c r="E995" s="128"/>
      <c r="F995" s="128"/>
      <c r="G995" s="128"/>
      <c r="H995" s="124"/>
      <c r="I995" s="124"/>
      <c r="K995" s="86"/>
      <c r="L995" s="87"/>
      <c r="O995" s="92"/>
      <c r="Q995" s="93"/>
      <c r="S995" s="100"/>
      <c r="T995" s="91"/>
      <c r="U995" s="101"/>
      <c r="V995" s="61"/>
      <c r="W995" s="61"/>
    </row>
    <row r="996" spans="3:23" x14ac:dyDescent="0.25">
      <c r="C996" s="125"/>
      <c r="D996" s="126"/>
      <c r="E996" s="126"/>
      <c r="F996" s="126"/>
      <c r="G996" s="126"/>
      <c r="H996" s="124"/>
      <c r="I996" s="124"/>
      <c r="K996" s="86"/>
      <c r="L996" s="87"/>
      <c r="O996" s="92"/>
      <c r="Q996" s="93"/>
      <c r="S996" s="100"/>
      <c r="T996" s="91"/>
      <c r="U996" s="101"/>
      <c r="V996" s="61"/>
      <c r="W996" s="61"/>
    </row>
    <row r="997" spans="3:23" x14ac:dyDescent="0.25">
      <c r="C997" s="127"/>
      <c r="D997" s="128"/>
      <c r="E997" s="128"/>
      <c r="F997" s="128"/>
      <c r="G997" s="128"/>
      <c r="H997" s="124"/>
      <c r="I997" s="124"/>
      <c r="K997" s="86"/>
      <c r="L997" s="87"/>
      <c r="O997" s="92"/>
      <c r="Q997" s="93"/>
      <c r="S997" s="100"/>
      <c r="T997" s="91"/>
      <c r="U997" s="101"/>
      <c r="V997" s="61"/>
      <c r="W997" s="61"/>
    </row>
    <row r="998" spans="3:23" x14ac:dyDescent="0.25">
      <c r="C998" s="125"/>
      <c r="D998" s="126"/>
      <c r="E998" s="126"/>
      <c r="F998" s="126"/>
      <c r="G998" s="126"/>
      <c r="H998" s="124"/>
      <c r="I998" s="124"/>
      <c r="K998" s="86"/>
      <c r="L998" s="87"/>
      <c r="O998" s="92"/>
      <c r="Q998" s="93"/>
      <c r="S998" s="100"/>
      <c r="T998" s="91"/>
      <c r="U998" s="101"/>
      <c r="V998" s="61"/>
      <c r="W998" s="61"/>
    </row>
    <row r="999" spans="3:23" x14ac:dyDescent="0.25">
      <c r="C999" s="127"/>
      <c r="D999" s="128"/>
      <c r="E999" s="128"/>
      <c r="F999" s="128"/>
      <c r="G999" s="128"/>
      <c r="H999" s="124"/>
      <c r="I999" s="124"/>
      <c r="K999" s="86"/>
      <c r="L999" s="87"/>
      <c r="O999" s="92"/>
      <c r="Q999" s="93"/>
      <c r="S999" s="100"/>
      <c r="T999" s="91"/>
      <c r="U999" s="101"/>
      <c r="V999" s="61"/>
      <c r="W999" s="61"/>
    </row>
    <row r="1000" spans="3:23" x14ac:dyDescent="0.25">
      <c r="C1000" s="125"/>
      <c r="D1000" s="126"/>
      <c r="E1000" s="126"/>
      <c r="F1000" s="126"/>
      <c r="G1000" s="126"/>
      <c r="H1000" s="124"/>
      <c r="I1000" s="124"/>
      <c r="K1000" s="86"/>
      <c r="L1000" s="87"/>
      <c r="O1000" s="92"/>
      <c r="Q1000" s="93"/>
      <c r="S1000" s="100"/>
      <c r="T1000" s="91"/>
      <c r="U1000" s="101"/>
      <c r="V1000" s="61"/>
      <c r="W1000" s="61"/>
    </row>
    <row r="1001" spans="3:23" x14ac:dyDescent="0.25">
      <c r="C1001" s="127"/>
      <c r="D1001" s="128"/>
      <c r="E1001" s="128"/>
      <c r="F1001" s="128"/>
      <c r="G1001" s="128"/>
      <c r="H1001" s="124"/>
      <c r="I1001" s="124"/>
      <c r="K1001" s="86"/>
      <c r="L1001" s="87"/>
      <c r="O1001" s="92"/>
      <c r="Q1001" s="93"/>
      <c r="S1001" s="100"/>
      <c r="T1001" s="91"/>
      <c r="U1001" s="101"/>
      <c r="V1001" s="61"/>
      <c r="W1001" s="61"/>
    </row>
    <row r="1002" spans="3:23" x14ac:dyDescent="0.25">
      <c r="C1002" s="125"/>
      <c r="D1002" s="126"/>
      <c r="E1002" s="126"/>
      <c r="F1002" s="126"/>
      <c r="G1002" s="126"/>
      <c r="H1002" s="124"/>
      <c r="I1002" s="124"/>
      <c r="K1002" s="86"/>
      <c r="L1002" s="87"/>
      <c r="O1002" s="92"/>
      <c r="Q1002" s="93"/>
      <c r="S1002" s="100"/>
      <c r="T1002" s="91"/>
      <c r="U1002" s="101"/>
      <c r="V1002" s="61"/>
      <c r="W1002" s="61"/>
    </row>
    <row r="1003" spans="3:23" x14ac:dyDescent="0.25">
      <c r="C1003" s="127"/>
      <c r="D1003" s="128"/>
      <c r="E1003" s="128"/>
      <c r="F1003" s="128"/>
      <c r="G1003" s="128"/>
      <c r="H1003" s="124"/>
      <c r="I1003" s="124"/>
      <c r="K1003" s="86"/>
      <c r="L1003" s="87"/>
      <c r="O1003" s="92"/>
      <c r="Q1003" s="93"/>
      <c r="S1003" s="100"/>
      <c r="T1003" s="91"/>
      <c r="U1003" s="101"/>
      <c r="V1003" s="61"/>
      <c r="W1003" s="61"/>
    </row>
    <row r="1004" spans="3:23" x14ac:dyDescent="0.25">
      <c r="C1004" s="125"/>
      <c r="D1004" s="126"/>
      <c r="E1004" s="126"/>
      <c r="F1004" s="126"/>
      <c r="G1004" s="126"/>
      <c r="H1004" s="124"/>
      <c r="I1004" s="124"/>
      <c r="K1004" s="86"/>
      <c r="L1004" s="87"/>
      <c r="O1004" s="92"/>
      <c r="Q1004" s="93"/>
      <c r="S1004" s="100"/>
      <c r="T1004" s="91"/>
      <c r="U1004" s="101"/>
      <c r="V1004" s="61"/>
      <c r="W1004" s="61"/>
    </row>
    <row r="1005" spans="3:23" x14ac:dyDescent="0.25">
      <c r="C1005" s="127"/>
      <c r="D1005" s="128"/>
      <c r="E1005" s="128"/>
      <c r="F1005" s="128"/>
      <c r="G1005" s="128"/>
      <c r="H1005" s="124"/>
      <c r="I1005" s="124"/>
      <c r="K1005" s="86"/>
      <c r="L1005" s="87"/>
      <c r="O1005" s="92"/>
      <c r="Q1005" s="93"/>
      <c r="S1005" s="100"/>
      <c r="T1005" s="91"/>
      <c r="U1005" s="101"/>
      <c r="V1005" s="61"/>
      <c r="W1005" s="61"/>
    </row>
    <row r="1006" spans="3:23" x14ac:dyDescent="0.25">
      <c r="C1006" s="125"/>
      <c r="D1006" s="126"/>
      <c r="E1006" s="126"/>
      <c r="F1006" s="126"/>
      <c r="G1006" s="126"/>
      <c r="H1006" s="124"/>
      <c r="I1006" s="124"/>
      <c r="K1006" s="86"/>
      <c r="L1006" s="87"/>
      <c r="O1006" s="92"/>
      <c r="Q1006" s="93"/>
      <c r="S1006" s="100"/>
      <c r="T1006" s="91"/>
      <c r="U1006" s="101"/>
      <c r="V1006" s="61"/>
      <c r="W1006" s="61"/>
    </row>
    <row r="1007" spans="3:23" x14ac:dyDescent="0.25">
      <c r="C1007" s="127"/>
      <c r="D1007" s="128"/>
      <c r="E1007" s="128"/>
      <c r="F1007" s="128"/>
      <c r="G1007" s="128"/>
      <c r="H1007" s="124"/>
      <c r="I1007" s="124"/>
      <c r="K1007" s="86"/>
      <c r="L1007" s="87"/>
      <c r="O1007" s="92"/>
      <c r="Q1007" s="93"/>
      <c r="S1007" s="100"/>
      <c r="T1007" s="91"/>
      <c r="U1007" s="101"/>
      <c r="V1007" s="61"/>
      <c r="W1007" s="61"/>
    </row>
    <row r="1008" spans="3:23" x14ac:dyDescent="0.25">
      <c r="C1008" s="125"/>
      <c r="D1008" s="126"/>
      <c r="E1008" s="126"/>
      <c r="F1008" s="126"/>
      <c r="G1008" s="126"/>
      <c r="H1008" s="124"/>
      <c r="I1008" s="124"/>
      <c r="K1008" s="86"/>
      <c r="L1008" s="87"/>
      <c r="O1008" s="92"/>
      <c r="Q1008" s="93"/>
      <c r="S1008" s="100"/>
      <c r="T1008" s="91"/>
      <c r="U1008" s="101"/>
      <c r="V1008" s="61"/>
      <c r="W1008" s="61"/>
    </row>
    <row r="1009" spans="3:23" x14ac:dyDescent="0.25">
      <c r="C1009" s="127"/>
      <c r="D1009" s="128"/>
      <c r="E1009" s="128"/>
      <c r="F1009" s="128"/>
      <c r="G1009" s="128"/>
      <c r="H1009" s="124"/>
      <c r="I1009" s="124"/>
      <c r="K1009" s="86"/>
      <c r="L1009" s="87"/>
      <c r="O1009" s="92"/>
      <c r="Q1009" s="93"/>
      <c r="S1009" s="100"/>
      <c r="T1009" s="91"/>
      <c r="U1009" s="101"/>
      <c r="V1009" s="61"/>
      <c r="W1009" s="61"/>
    </row>
    <row r="1010" spans="3:23" x14ac:dyDescent="0.25">
      <c r="C1010" s="125"/>
      <c r="D1010" s="126"/>
      <c r="E1010" s="126"/>
      <c r="F1010" s="126"/>
      <c r="G1010" s="126"/>
      <c r="H1010" s="124"/>
      <c r="I1010" s="124"/>
      <c r="K1010" s="86"/>
      <c r="L1010" s="87"/>
      <c r="O1010" s="92"/>
      <c r="Q1010" s="93"/>
      <c r="S1010" s="100"/>
      <c r="T1010" s="91"/>
      <c r="U1010" s="101"/>
      <c r="V1010" s="61"/>
      <c r="W1010" s="61"/>
    </row>
    <row r="1011" spans="3:23" x14ac:dyDescent="0.25">
      <c r="C1011" s="127"/>
      <c r="D1011" s="128"/>
      <c r="E1011" s="128"/>
      <c r="F1011" s="128"/>
      <c r="G1011" s="128"/>
      <c r="H1011" s="124"/>
      <c r="I1011" s="124"/>
      <c r="K1011" s="86"/>
      <c r="L1011" s="87"/>
      <c r="O1011" s="92"/>
      <c r="Q1011" s="93"/>
      <c r="S1011" s="100"/>
      <c r="T1011" s="91"/>
      <c r="U1011" s="101"/>
      <c r="V1011" s="61"/>
      <c r="W1011" s="61"/>
    </row>
    <row r="1012" spans="3:23" x14ac:dyDescent="0.25">
      <c r="C1012" s="125"/>
      <c r="D1012" s="126"/>
      <c r="E1012" s="126"/>
      <c r="F1012" s="126"/>
      <c r="G1012" s="126"/>
      <c r="H1012" s="124"/>
      <c r="I1012" s="124"/>
      <c r="K1012" s="86"/>
      <c r="L1012" s="87"/>
      <c r="O1012" s="92"/>
      <c r="Q1012" s="93"/>
      <c r="S1012" s="100"/>
      <c r="T1012" s="91"/>
      <c r="U1012" s="101"/>
      <c r="V1012" s="61"/>
      <c r="W1012" s="61"/>
    </row>
    <row r="1013" spans="3:23" x14ac:dyDescent="0.25">
      <c r="C1013" s="127"/>
      <c r="D1013" s="128"/>
      <c r="E1013" s="128"/>
      <c r="F1013" s="128"/>
      <c r="G1013" s="128"/>
      <c r="H1013" s="124"/>
      <c r="I1013" s="124"/>
      <c r="K1013" s="86"/>
      <c r="L1013" s="87"/>
      <c r="O1013" s="92"/>
      <c r="Q1013" s="93"/>
      <c r="S1013" s="100"/>
      <c r="T1013" s="91"/>
      <c r="U1013" s="101"/>
      <c r="V1013" s="61"/>
      <c r="W1013" s="61"/>
    </row>
    <row r="1014" spans="3:23" x14ac:dyDescent="0.25">
      <c r="C1014" s="125"/>
      <c r="D1014" s="126"/>
      <c r="E1014" s="126"/>
      <c r="F1014" s="126"/>
      <c r="G1014" s="126"/>
      <c r="H1014" s="124"/>
      <c r="I1014" s="124"/>
      <c r="K1014" s="86"/>
      <c r="L1014" s="87"/>
      <c r="O1014" s="92"/>
      <c r="Q1014" s="93"/>
      <c r="S1014" s="100"/>
      <c r="T1014" s="91"/>
      <c r="U1014" s="101"/>
      <c r="V1014" s="61"/>
      <c r="W1014" s="61"/>
    </row>
    <row r="1015" spans="3:23" x14ac:dyDescent="0.25">
      <c r="C1015" s="127"/>
      <c r="D1015" s="128"/>
      <c r="E1015" s="128"/>
      <c r="F1015" s="128"/>
      <c r="G1015" s="128"/>
      <c r="H1015" s="124"/>
      <c r="I1015" s="124"/>
      <c r="K1015" s="86"/>
      <c r="L1015" s="87"/>
      <c r="O1015" s="92"/>
      <c r="Q1015" s="93"/>
      <c r="S1015" s="100"/>
      <c r="T1015" s="91"/>
      <c r="U1015" s="101"/>
      <c r="V1015" s="61"/>
      <c r="W1015" s="61"/>
    </row>
    <row r="1016" spans="3:23" x14ac:dyDescent="0.25">
      <c r="C1016" s="125"/>
      <c r="D1016" s="126"/>
      <c r="E1016" s="126"/>
      <c r="F1016" s="126"/>
      <c r="G1016" s="126"/>
      <c r="H1016" s="124"/>
      <c r="I1016" s="124"/>
      <c r="K1016" s="86"/>
      <c r="L1016" s="87"/>
      <c r="O1016" s="92"/>
      <c r="Q1016" s="93"/>
      <c r="S1016" s="100"/>
      <c r="T1016" s="91"/>
      <c r="U1016" s="101"/>
      <c r="V1016" s="61"/>
      <c r="W1016" s="61"/>
    </row>
    <row r="1017" spans="3:23" x14ac:dyDescent="0.25">
      <c r="C1017" s="127"/>
      <c r="D1017" s="128"/>
      <c r="E1017" s="128"/>
      <c r="F1017" s="128"/>
      <c r="G1017" s="128"/>
      <c r="H1017" s="124"/>
      <c r="I1017" s="124"/>
      <c r="K1017" s="86"/>
      <c r="L1017" s="87"/>
      <c r="O1017" s="92"/>
      <c r="Q1017" s="93"/>
      <c r="S1017" s="100"/>
      <c r="T1017" s="91"/>
      <c r="U1017" s="101"/>
      <c r="V1017" s="61"/>
      <c r="W1017" s="61"/>
    </row>
    <row r="1018" spans="3:23" x14ac:dyDescent="0.25">
      <c r="C1018" s="125"/>
      <c r="D1018" s="126"/>
      <c r="E1018" s="126"/>
      <c r="F1018" s="126"/>
      <c r="G1018" s="126"/>
      <c r="H1018" s="124"/>
      <c r="I1018" s="124"/>
      <c r="K1018" s="86"/>
      <c r="L1018" s="87"/>
      <c r="O1018" s="92"/>
      <c r="Q1018" s="93"/>
      <c r="S1018" s="100"/>
      <c r="T1018" s="91"/>
      <c r="U1018" s="101"/>
      <c r="V1018" s="61"/>
      <c r="W1018" s="61"/>
    </row>
    <row r="1019" spans="3:23" x14ac:dyDescent="0.25">
      <c r="C1019" s="127"/>
      <c r="D1019" s="128"/>
      <c r="E1019" s="128"/>
      <c r="F1019" s="128"/>
      <c r="G1019" s="128"/>
      <c r="H1019" s="124"/>
      <c r="I1019" s="124"/>
      <c r="K1019" s="86"/>
      <c r="L1019" s="87"/>
      <c r="O1019" s="92"/>
      <c r="Q1019" s="93"/>
      <c r="S1019" s="100"/>
      <c r="T1019" s="91"/>
      <c r="U1019" s="101"/>
      <c r="V1019" s="61"/>
      <c r="W1019" s="61"/>
    </row>
    <row r="1020" spans="3:23" x14ac:dyDescent="0.25">
      <c r="C1020" s="125"/>
      <c r="D1020" s="126"/>
      <c r="E1020" s="126"/>
      <c r="F1020" s="126"/>
      <c r="G1020" s="126"/>
      <c r="H1020" s="124"/>
      <c r="I1020" s="124"/>
      <c r="K1020" s="86"/>
      <c r="L1020" s="87"/>
      <c r="O1020" s="92"/>
      <c r="Q1020" s="93"/>
      <c r="S1020" s="100"/>
      <c r="T1020" s="91"/>
      <c r="U1020" s="101"/>
      <c r="V1020" s="61"/>
      <c r="W1020" s="61"/>
    </row>
    <row r="1021" spans="3:23" x14ac:dyDescent="0.25">
      <c r="C1021" s="127"/>
      <c r="D1021" s="128"/>
      <c r="E1021" s="128"/>
      <c r="F1021" s="128"/>
      <c r="G1021" s="128"/>
      <c r="H1021" s="124"/>
      <c r="I1021" s="124"/>
      <c r="K1021" s="86"/>
      <c r="L1021" s="87"/>
      <c r="O1021" s="92"/>
      <c r="Q1021" s="93"/>
      <c r="S1021" s="100"/>
      <c r="T1021" s="91"/>
      <c r="U1021" s="101"/>
      <c r="V1021" s="61"/>
      <c r="W1021" s="61"/>
    </row>
    <row r="1022" spans="3:23" x14ac:dyDescent="0.25">
      <c r="C1022" s="125"/>
      <c r="D1022" s="126"/>
      <c r="E1022" s="126"/>
      <c r="F1022" s="126"/>
      <c r="G1022" s="126"/>
      <c r="H1022" s="124"/>
      <c r="I1022" s="124"/>
      <c r="K1022" s="86"/>
      <c r="L1022" s="87"/>
      <c r="O1022" s="92"/>
      <c r="Q1022" s="93"/>
      <c r="S1022" s="100"/>
      <c r="T1022" s="91"/>
      <c r="U1022" s="101"/>
      <c r="V1022" s="61"/>
      <c r="W1022" s="61"/>
    </row>
    <row r="1023" spans="3:23" x14ac:dyDescent="0.25">
      <c r="C1023" s="127"/>
      <c r="D1023" s="128"/>
      <c r="E1023" s="128"/>
      <c r="F1023" s="128"/>
      <c r="G1023" s="128"/>
      <c r="H1023" s="124"/>
      <c r="I1023" s="124"/>
      <c r="K1023" s="86"/>
      <c r="L1023" s="87"/>
      <c r="O1023" s="92"/>
      <c r="Q1023" s="93"/>
      <c r="S1023" s="100"/>
      <c r="T1023" s="91"/>
      <c r="U1023" s="101"/>
      <c r="V1023" s="61"/>
      <c r="W1023" s="61"/>
    </row>
    <row r="1024" spans="3:23" x14ac:dyDescent="0.25">
      <c r="C1024" s="125"/>
      <c r="D1024" s="126"/>
      <c r="E1024" s="126"/>
      <c r="F1024" s="126"/>
      <c r="G1024" s="126"/>
      <c r="H1024" s="124"/>
      <c r="I1024" s="124"/>
      <c r="K1024" s="86"/>
      <c r="L1024" s="87"/>
      <c r="O1024" s="92"/>
      <c r="Q1024" s="93"/>
      <c r="S1024" s="100"/>
      <c r="T1024" s="91"/>
      <c r="U1024" s="101"/>
      <c r="V1024" s="61"/>
      <c r="W1024" s="61"/>
    </row>
    <row r="1025" spans="3:23" x14ac:dyDescent="0.25">
      <c r="C1025" s="127"/>
      <c r="D1025" s="128"/>
      <c r="E1025" s="128"/>
      <c r="F1025" s="128"/>
      <c r="G1025" s="128"/>
      <c r="H1025" s="124"/>
      <c r="I1025" s="124"/>
      <c r="K1025" s="86"/>
      <c r="L1025" s="87"/>
      <c r="O1025" s="92"/>
      <c r="Q1025" s="93"/>
      <c r="S1025" s="100"/>
      <c r="T1025" s="91"/>
      <c r="U1025" s="101"/>
      <c r="V1025" s="61"/>
      <c r="W1025" s="61"/>
    </row>
    <row r="1026" spans="3:23" x14ac:dyDescent="0.25">
      <c r="C1026" s="125"/>
      <c r="D1026" s="126"/>
      <c r="E1026" s="126"/>
      <c r="F1026" s="126"/>
      <c r="G1026" s="126"/>
      <c r="H1026" s="124"/>
      <c r="I1026" s="124"/>
      <c r="K1026" s="86"/>
      <c r="L1026" s="87"/>
      <c r="O1026" s="92"/>
      <c r="Q1026" s="93"/>
      <c r="S1026" s="100"/>
      <c r="T1026" s="91"/>
      <c r="U1026" s="101"/>
      <c r="V1026" s="61"/>
      <c r="W1026" s="61"/>
    </row>
    <row r="1027" spans="3:23" x14ac:dyDescent="0.25">
      <c r="C1027" s="127"/>
      <c r="D1027" s="128"/>
      <c r="E1027" s="128"/>
      <c r="F1027" s="128"/>
      <c r="G1027" s="128"/>
      <c r="H1027" s="124"/>
      <c r="I1027" s="124"/>
      <c r="K1027" s="86"/>
      <c r="L1027" s="87"/>
      <c r="O1027" s="92"/>
      <c r="Q1027" s="93"/>
      <c r="S1027" s="100"/>
      <c r="T1027" s="91"/>
      <c r="U1027" s="101"/>
      <c r="V1027" s="61"/>
      <c r="W1027" s="61"/>
    </row>
    <row r="1028" spans="3:23" x14ac:dyDescent="0.25">
      <c r="C1028" s="125"/>
      <c r="D1028" s="126"/>
      <c r="E1028" s="126"/>
      <c r="F1028" s="126"/>
      <c r="G1028" s="126"/>
      <c r="H1028" s="124"/>
      <c r="I1028" s="124"/>
      <c r="K1028" s="86"/>
      <c r="L1028" s="87"/>
      <c r="O1028" s="92"/>
      <c r="Q1028" s="93"/>
      <c r="S1028" s="100"/>
      <c r="T1028" s="91"/>
      <c r="U1028" s="101"/>
      <c r="V1028" s="61"/>
      <c r="W1028" s="61"/>
    </row>
    <row r="1029" spans="3:23" x14ac:dyDescent="0.25">
      <c r="C1029" s="127"/>
      <c r="D1029" s="128"/>
      <c r="E1029" s="128"/>
      <c r="F1029" s="128"/>
      <c r="G1029" s="128"/>
      <c r="H1029" s="124"/>
      <c r="I1029" s="124"/>
      <c r="K1029" s="86"/>
      <c r="L1029" s="87"/>
      <c r="O1029" s="92"/>
      <c r="Q1029" s="93"/>
      <c r="S1029" s="100"/>
      <c r="T1029" s="91"/>
      <c r="U1029" s="101"/>
      <c r="V1029" s="61"/>
      <c r="W1029" s="61"/>
    </row>
    <row r="1030" spans="3:23" x14ac:dyDescent="0.25">
      <c r="C1030" s="125"/>
      <c r="D1030" s="126"/>
      <c r="E1030" s="126"/>
      <c r="F1030" s="126"/>
      <c r="G1030" s="126"/>
      <c r="H1030" s="124"/>
      <c r="I1030" s="124"/>
      <c r="K1030" s="86"/>
      <c r="L1030" s="87"/>
      <c r="O1030" s="92"/>
      <c r="Q1030" s="93"/>
      <c r="S1030" s="100"/>
      <c r="T1030" s="91"/>
      <c r="U1030" s="101"/>
      <c r="V1030" s="61"/>
      <c r="W1030" s="61"/>
    </row>
    <row r="1031" spans="3:23" x14ac:dyDescent="0.25">
      <c r="C1031" s="127"/>
      <c r="D1031" s="128"/>
      <c r="E1031" s="128"/>
      <c r="F1031" s="128"/>
      <c r="G1031" s="128"/>
      <c r="H1031" s="124"/>
      <c r="I1031" s="124"/>
      <c r="K1031" s="86"/>
      <c r="L1031" s="87"/>
      <c r="O1031" s="92"/>
      <c r="Q1031" s="93"/>
      <c r="S1031" s="100"/>
      <c r="T1031" s="91"/>
      <c r="U1031" s="101"/>
      <c r="V1031" s="61"/>
      <c r="W1031" s="61"/>
    </row>
    <row r="1032" spans="3:23" x14ac:dyDescent="0.25">
      <c r="C1032" s="125"/>
      <c r="D1032" s="126"/>
      <c r="E1032" s="126"/>
      <c r="F1032" s="126"/>
      <c r="G1032" s="126"/>
      <c r="H1032" s="124"/>
      <c r="I1032" s="124"/>
      <c r="K1032" s="86"/>
      <c r="L1032" s="87"/>
      <c r="O1032" s="92"/>
      <c r="Q1032" s="93"/>
      <c r="S1032" s="100"/>
      <c r="T1032" s="91"/>
      <c r="U1032" s="101"/>
      <c r="V1032" s="61"/>
      <c r="W1032" s="61"/>
    </row>
    <row r="1033" spans="3:23" x14ac:dyDescent="0.25">
      <c r="C1033" s="127"/>
      <c r="D1033" s="128"/>
      <c r="E1033" s="128"/>
      <c r="F1033" s="128"/>
      <c r="G1033" s="128"/>
      <c r="H1033" s="124"/>
      <c r="I1033" s="124"/>
      <c r="K1033" s="86"/>
      <c r="L1033" s="87"/>
      <c r="O1033" s="92"/>
      <c r="Q1033" s="93"/>
      <c r="S1033" s="100"/>
      <c r="T1033" s="91"/>
      <c r="U1033" s="101"/>
      <c r="V1033" s="61"/>
      <c r="W1033" s="61"/>
    </row>
    <row r="1034" spans="3:23" x14ac:dyDescent="0.25">
      <c r="C1034" s="125"/>
      <c r="D1034" s="126"/>
      <c r="E1034" s="126"/>
      <c r="F1034" s="126"/>
      <c r="G1034" s="126"/>
      <c r="H1034" s="124"/>
      <c r="I1034" s="124"/>
      <c r="K1034" s="86"/>
      <c r="L1034" s="87"/>
      <c r="O1034" s="92"/>
      <c r="Q1034" s="93"/>
      <c r="S1034" s="100"/>
      <c r="T1034" s="91"/>
      <c r="U1034" s="101"/>
      <c r="V1034" s="61"/>
      <c r="W1034" s="61"/>
    </row>
    <row r="1035" spans="3:23" x14ac:dyDescent="0.25">
      <c r="C1035" s="127"/>
      <c r="D1035" s="128"/>
      <c r="E1035" s="128"/>
      <c r="F1035" s="128"/>
      <c r="G1035" s="128"/>
      <c r="H1035" s="124"/>
      <c r="I1035" s="124"/>
      <c r="K1035" s="86"/>
      <c r="L1035" s="87"/>
      <c r="O1035" s="92"/>
      <c r="Q1035" s="93"/>
      <c r="S1035" s="100"/>
      <c r="T1035" s="91"/>
      <c r="U1035" s="101"/>
      <c r="V1035" s="61"/>
      <c r="W1035" s="61"/>
    </row>
    <row r="1036" spans="3:23" x14ac:dyDescent="0.25">
      <c r="C1036" s="125"/>
      <c r="D1036" s="126"/>
      <c r="E1036" s="126"/>
      <c r="F1036" s="126"/>
      <c r="G1036" s="126"/>
      <c r="H1036" s="124"/>
      <c r="I1036" s="124"/>
      <c r="K1036" s="86"/>
      <c r="L1036" s="87"/>
      <c r="O1036" s="92"/>
      <c r="Q1036" s="93"/>
      <c r="S1036" s="100"/>
      <c r="T1036" s="91"/>
      <c r="U1036" s="101"/>
      <c r="V1036" s="61"/>
      <c r="W1036" s="61"/>
    </row>
    <row r="1037" spans="3:23" x14ac:dyDescent="0.25">
      <c r="C1037" s="127"/>
      <c r="D1037" s="128"/>
      <c r="E1037" s="128"/>
      <c r="F1037" s="128"/>
      <c r="G1037" s="128"/>
      <c r="H1037" s="124"/>
      <c r="I1037" s="124"/>
      <c r="K1037" s="86"/>
      <c r="L1037" s="87"/>
      <c r="O1037" s="92"/>
      <c r="Q1037" s="93"/>
      <c r="S1037" s="100"/>
      <c r="T1037" s="91"/>
      <c r="U1037" s="101"/>
      <c r="V1037" s="61"/>
      <c r="W1037" s="61"/>
    </row>
    <row r="1038" spans="3:23" x14ac:dyDescent="0.25">
      <c r="C1038" s="125"/>
      <c r="D1038" s="126"/>
      <c r="E1038" s="126"/>
      <c r="F1038" s="126"/>
      <c r="G1038" s="126"/>
      <c r="H1038" s="124"/>
      <c r="I1038" s="124"/>
      <c r="K1038" s="86"/>
      <c r="L1038" s="87"/>
      <c r="O1038" s="92"/>
      <c r="Q1038" s="93"/>
      <c r="S1038" s="100"/>
      <c r="T1038" s="91"/>
      <c r="U1038" s="101"/>
      <c r="V1038" s="61"/>
      <c r="W1038" s="61"/>
    </row>
    <row r="1039" spans="3:23" x14ac:dyDescent="0.25">
      <c r="C1039" s="127"/>
      <c r="D1039" s="128"/>
      <c r="E1039" s="128"/>
      <c r="F1039" s="128"/>
      <c r="G1039" s="128"/>
      <c r="H1039" s="124"/>
      <c r="I1039" s="124"/>
      <c r="K1039" s="86"/>
      <c r="L1039" s="87"/>
      <c r="O1039" s="92"/>
      <c r="Q1039" s="93"/>
      <c r="S1039" s="100"/>
      <c r="T1039" s="91"/>
      <c r="U1039" s="101"/>
      <c r="V1039" s="61"/>
      <c r="W1039" s="61"/>
    </row>
    <row r="1040" spans="3:23" x14ac:dyDescent="0.25">
      <c r="C1040" s="125"/>
      <c r="D1040" s="126"/>
      <c r="E1040" s="126"/>
      <c r="F1040" s="126"/>
      <c r="G1040" s="126"/>
      <c r="H1040" s="124"/>
      <c r="I1040" s="124"/>
      <c r="K1040" s="86"/>
      <c r="L1040" s="87"/>
      <c r="O1040" s="92"/>
      <c r="Q1040" s="93"/>
      <c r="S1040" s="100"/>
      <c r="T1040" s="91"/>
      <c r="U1040" s="101"/>
      <c r="V1040" s="61"/>
      <c r="W1040" s="61"/>
    </row>
    <row r="1041" spans="3:23" x14ac:dyDescent="0.25">
      <c r="C1041" s="127"/>
      <c r="D1041" s="128"/>
      <c r="E1041" s="128"/>
      <c r="F1041" s="128"/>
      <c r="G1041" s="128"/>
      <c r="H1041" s="124"/>
      <c r="I1041" s="124"/>
      <c r="K1041" s="86"/>
      <c r="L1041" s="87"/>
      <c r="O1041" s="92"/>
      <c r="Q1041" s="93"/>
      <c r="S1041" s="100"/>
      <c r="T1041" s="91"/>
      <c r="U1041" s="101"/>
      <c r="V1041" s="61"/>
      <c r="W1041" s="61"/>
    </row>
    <row r="1042" spans="3:23" x14ac:dyDescent="0.25">
      <c r="C1042" s="125"/>
      <c r="D1042" s="126"/>
      <c r="E1042" s="126"/>
      <c r="F1042" s="126"/>
      <c r="G1042" s="126"/>
      <c r="H1042" s="124"/>
      <c r="I1042" s="124"/>
      <c r="K1042" s="86"/>
      <c r="L1042" s="87"/>
      <c r="O1042" s="92"/>
      <c r="Q1042" s="93"/>
      <c r="S1042" s="100"/>
      <c r="T1042" s="91"/>
      <c r="U1042" s="101"/>
      <c r="V1042" s="61"/>
      <c r="W1042" s="61"/>
    </row>
    <row r="1043" spans="3:23" x14ac:dyDescent="0.25">
      <c r="C1043" s="127"/>
      <c r="D1043" s="128"/>
      <c r="E1043" s="128"/>
      <c r="F1043" s="128"/>
      <c r="G1043" s="128"/>
      <c r="H1043" s="124"/>
      <c r="I1043" s="124"/>
      <c r="K1043" s="86"/>
      <c r="L1043" s="87"/>
      <c r="O1043" s="92"/>
      <c r="Q1043" s="93"/>
      <c r="S1043" s="100"/>
      <c r="T1043" s="91"/>
      <c r="U1043" s="101"/>
      <c r="V1043" s="61"/>
      <c r="W1043" s="61"/>
    </row>
    <row r="1044" spans="3:23" x14ac:dyDescent="0.25">
      <c r="C1044" s="125"/>
      <c r="D1044" s="126"/>
      <c r="E1044" s="126"/>
      <c r="F1044" s="126"/>
      <c r="G1044" s="126"/>
      <c r="H1044" s="124"/>
      <c r="I1044" s="124"/>
      <c r="K1044" s="86"/>
      <c r="L1044" s="87"/>
      <c r="O1044" s="92"/>
      <c r="Q1044" s="93"/>
      <c r="S1044" s="100"/>
      <c r="T1044" s="91"/>
      <c r="U1044" s="101"/>
      <c r="V1044" s="61"/>
      <c r="W1044" s="61"/>
    </row>
    <row r="1045" spans="3:23" x14ac:dyDescent="0.25">
      <c r="C1045" s="127"/>
      <c r="D1045" s="128"/>
      <c r="E1045" s="128"/>
      <c r="F1045" s="128"/>
      <c r="G1045" s="128"/>
      <c r="H1045" s="124"/>
      <c r="I1045" s="124"/>
      <c r="K1045" s="86"/>
      <c r="L1045" s="87"/>
      <c r="O1045" s="92"/>
      <c r="Q1045" s="93"/>
      <c r="S1045" s="100"/>
      <c r="T1045" s="91"/>
      <c r="U1045" s="101"/>
      <c r="V1045" s="61"/>
      <c r="W1045" s="61"/>
    </row>
    <row r="1046" spans="3:23" x14ac:dyDescent="0.25">
      <c r="C1046" s="125"/>
      <c r="D1046" s="126"/>
      <c r="E1046" s="126"/>
      <c r="F1046" s="126"/>
      <c r="G1046" s="126"/>
      <c r="H1046" s="124"/>
      <c r="I1046" s="124"/>
      <c r="K1046" s="86"/>
      <c r="L1046" s="87"/>
      <c r="O1046" s="92"/>
      <c r="Q1046" s="93"/>
      <c r="S1046" s="100"/>
      <c r="T1046" s="91"/>
      <c r="U1046" s="101"/>
      <c r="V1046" s="61"/>
      <c r="W1046" s="61"/>
    </row>
    <row r="1047" spans="3:23" x14ac:dyDescent="0.25">
      <c r="C1047" s="127"/>
      <c r="D1047" s="128"/>
      <c r="E1047" s="128"/>
      <c r="F1047" s="128"/>
      <c r="G1047" s="128"/>
      <c r="H1047" s="124"/>
      <c r="I1047" s="124"/>
      <c r="K1047" s="86"/>
      <c r="L1047" s="87"/>
      <c r="O1047" s="92"/>
      <c r="Q1047" s="93"/>
      <c r="S1047" s="100"/>
      <c r="T1047" s="91"/>
      <c r="U1047" s="101"/>
      <c r="V1047" s="61"/>
      <c r="W1047" s="61"/>
    </row>
    <row r="1048" spans="3:23" x14ac:dyDescent="0.25">
      <c r="C1048" s="125"/>
      <c r="D1048" s="126"/>
      <c r="E1048" s="126"/>
      <c r="F1048" s="126"/>
      <c r="G1048" s="126"/>
      <c r="H1048" s="124"/>
      <c r="I1048" s="124"/>
      <c r="K1048" s="86"/>
      <c r="L1048" s="87"/>
      <c r="O1048" s="92"/>
      <c r="Q1048" s="93"/>
      <c r="S1048" s="100"/>
      <c r="T1048" s="91"/>
      <c r="U1048" s="101"/>
      <c r="V1048" s="61"/>
      <c r="W1048" s="61"/>
    </row>
    <row r="1049" spans="3:23" x14ac:dyDescent="0.25">
      <c r="C1049" s="127"/>
      <c r="D1049" s="128"/>
      <c r="E1049" s="128"/>
      <c r="F1049" s="128"/>
      <c r="G1049" s="128"/>
      <c r="H1049" s="124"/>
      <c r="I1049" s="124"/>
      <c r="K1049" s="86"/>
      <c r="L1049" s="87"/>
      <c r="O1049" s="92"/>
      <c r="Q1049" s="93"/>
      <c r="S1049" s="100"/>
      <c r="T1049" s="91"/>
      <c r="U1049" s="101"/>
      <c r="V1049" s="61"/>
      <c r="W1049" s="61"/>
    </row>
    <row r="1050" spans="3:23" x14ac:dyDescent="0.25">
      <c r="C1050" s="125"/>
      <c r="D1050" s="126"/>
      <c r="E1050" s="126"/>
      <c r="F1050" s="126"/>
      <c r="G1050" s="126"/>
      <c r="H1050" s="124"/>
      <c r="I1050" s="124"/>
      <c r="K1050" s="86"/>
      <c r="L1050" s="87"/>
      <c r="O1050" s="92"/>
      <c r="Q1050" s="93"/>
      <c r="S1050" s="100"/>
      <c r="T1050" s="91"/>
      <c r="U1050" s="101"/>
      <c r="V1050" s="61"/>
      <c r="W1050" s="61"/>
    </row>
    <row r="1051" spans="3:23" x14ac:dyDescent="0.25">
      <c r="C1051" s="127"/>
      <c r="D1051" s="128"/>
      <c r="E1051" s="128"/>
      <c r="F1051" s="128"/>
      <c r="G1051" s="128"/>
      <c r="H1051" s="124"/>
      <c r="I1051" s="124"/>
      <c r="K1051" s="86"/>
      <c r="L1051" s="87"/>
      <c r="O1051" s="92"/>
      <c r="Q1051" s="93"/>
      <c r="S1051" s="100"/>
      <c r="T1051" s="91"/>
      <c r="U1051" s="101"/>
      <c r="V1051" s="61"/>
      <c r="W1051" s="61"/>
    </row>
    <row r="1052" spans="3:23" x14ac:dyDescent="0.25">
      <c r="C1052" s="125"/>
      <c r="D1052" s="126"/>
      <c r="E1052" s="126"/>
      <c r="F1052" s="126"/>
      <c r="G1052" s="126"/>
      <c r="H1052" s="124"/>
      <c r="I1052" s="124"/>
      <c r="K1052" s="86"/>
      <c r="L1052" s="87"/>
      <c r="O1052" s="92"/>
      <c r="Q1052" s="93"/>
      <c r="S1052" s="100"/>
      <c r="T1052" s="91"/>
      <c r="U1052" s="101"/>
      <c r="V1052" s="61"/>
      <c r="W1052" s="61"/>
    </row>
    <row r="1053" spans="3:23" x14ac:dyDescent="0.25">
      <c r="C1053" s="127"/>
      <c r="D1053" s="128"/>
      <c r="E1053" s="128"/>
      <c r="F1053" s="128"/>
      <c r="G1053" s="128"/>
      <c r="H1053" s="124"/>
      <c r="I1053" s="124"/>
      <c r="K1053" s="86"/>
      <c r="L1053" s="87"/>
      <c r="O1053" s="92"/>
      <c r="Q1053" s="93"/>
      <c r="S1053" s="100"/>
      <c r="T1053" s="91"/>
      <c r="U1053" s="101"/>
      <c r="V1053" s="61"/>
      <c r="W1053" s="61"/>
    </row>
    <row r="1054" spans="3:23" x14ac:dyDescent="0.25">
      <c r="C1054" s="125"/>
      <c r="D1054" s="126"/>
      <c r="E1054" s="126"/>
      <c r="F1054" s="126"/>
      <c r="G1054" s="126"/>
      <c r="H1054" s="124"/>
      <c r="I1054" s="124"/>
      <c r="K1054" s="86"/>
      <c r="L1054" s="87"/>
      <c r="O1054" s="92"/>
      <c r="Q1054" s="93"/>
      <c r="S1054" s="100"/>
      <c r="T1054" s="91"/>
      <c r="U1054" s="101"/>
      <c r="V1054" s="61"/>
      <c r="W1054" s="61"/>
    </row>
    <row r="1055" spans="3:23" x14ac:dyDescent="0.25">
      <c r="C1055" s="127"/>
      <c r="D1055" s="128"/>
      <c r="E1055" s="128"/>
      <c r="F1055" s="128"/>
      <c r="G1055" s="128"/>
      <c r="H1055" s="124"/>
      <c r="I1055" s="124"/>
      <c r="K1055" s="86"/>
      <c r="L1055" s="87"/>
      <c r="O1055" s="92"/>
      <c r="Q1055" s="93"/>
      <c r="S1055" s="100"/>
      <c r="T1055" s="91"/>
      <c r="U1055" s="101"/>
      <c r="V1055" s="61"/>
      <c r="W1055" s="61"/>
    </row>
    <row r="1056" spans="3:23" x14ac:dyDescent="0.25">
      <c r="C1056" s="125"/>
      <c r="D1056" s="126"/>
      <c r="E1056" s="126"/>
      <c r="F1056" s="126"/>
      <c r="G1056" s="126"/>
      <c r="H1056" s="124"/>
      <c r="I1056" s="124"/>
      <c r="K1056" s="86"/>
      <c r="L1056" s="87"/>
      <c r="O1056" s="92"/>
      <c r="Q1056" s="93"/>
      <c r="S1056" s="100"/>
      <c r="T1056" s="91"/>
      <c r="U1056" s="101"/>
      <c r="V1056" s="61"/>
      <c r="W1056" s="61"/>
    </row>
    <row r="1057" spans="3:23" x14ac:dyDescent="0.25">
      <c r="C1057" s="127"/>
      <c r="D1057" s="128"/>
      <c r="E1057" s="128"/>
      <c r="F1057" s="128"/>
      <c r="G1057" s="128"/>
      <c r="H1057" s="124"/>
      <c r="I1057" s="124"/>
      <c r="K1057" s="86"/>
      <c r="L1057" s="87"/>
      <c r="O1057" s="92"/>
      <c r="Q1057" s="93"/>
      <c r="S1057" s="100"/>
      <c r="T1057" s="91"/>
      <c r="U1057" s="101"/>
      <c r="V1057" s="61"/>
      <c r="W1057" s="61"/>
    </row>
    <row r="1058" spans="3:23" x14ac:dyDescent="0.25">
      <c r="C1058" s="125"/>
      <c r="D1058" s="126"/>
      <c r="E1058" s="126"/>
      <c r="F1058" s="126"/>
      <c r="G1058" s="126"/>
      <c r="H1058" s="124"/>
      <c r="I1058" s="124"/>
      <c r="K1058" s="86"/>
      <c r="L1058" s="87"/>
      <c r="O1058" s="92"/>
      <c r="Q1058" s="93"/>
      <c r="S1058" s="100"/>
      <c r="T1058" s="91"/>
      <c r="U1058" s="101"/>
      <c r="V1058" s="61"/>
      <c r="W1058" s="61"/>
    </row>
    <row r="1059" spans="3:23" x14ac:dyDescent="0.25">
      <c r="C1059" s="127"/>
      <c r="D1059" s="128"/>
      <c r="E1059" s="128"/>
      <c r="F1059" s="128"/>
      <c r="G1059" s="128"/>
      <c r="H1059" s="124"/>
      <c r="I1059" s="124"/>
      <c r="K1059" s="86"/>
      <c r="L1059" s="87"/>
      <c r="O1059" s="92"/>
      <c r="Q1059" s="93"/>
      <c r="S1059" s="100"/>
      <c r="T1059" s="91"/>
      <c r="U1059" s="101"/>
      <c r="V1059" s="61"/>
      <c r="W1059" s="61"/>
    </row>
    <row r="1060" spans="3:23" x14ac:dyDescent="0.25">
      <c r="C1060" s="125"/>
      <c r="D1060" s="126"/>
      <c r="E1060" s="126"/>
      <c r="F1060" s="126"/>
      <c r="G1060" s="126"/>
      <c r="H1060" s="124"/>
      <c r="I1060" s="124"/>
      <c r="K1060" s="86"/>
      <c r="L1060" s="87"/>
      <c r="O1060" s="92"/>
      <c r="Q1060" s="93"/>
      <c r="S1060" s="100"/>
      <c r="T1060" s="91"/>
      <c r="U1060" s="101"/>
      <c r="V1060" s="61"/>
      <c r="W1060" s="61"/>
    </row>
    <row r="1061" spans="3:23" x14ac:dyDescent="0.25">
      <c r="C1061" s="127"/>
      <c r="D1061" s="128"/>
      <c r="E1061" s="128"/>
      <c r="F1061" s="128"/>
      <c r="G1061" s="128"/>
      <c r="H1061" s="124"/>
      <c r="I1061" s="124"/>
      <c r="K1061" s="86"/>
      <c r="L1061" s="87"/>
      <c r="O1061" s="92"/>
      <c r="Q1061" s="93"/>
      <c r="S1061" s="100"/>
      <c r="T1061" s="91"/>
      <c r="U1061" s="101"/>
      <c r="V1061" s="61"/>
      <c r="W1061" s="61"/>
    </row>
    <row r="1062" spans="3:23" x14ac:dyDescent="0.25">
      <c r="C1062" s="125"/>
      <c r="D1062" s="126"/>
      <c r="E1062" s="126"/>
      <c r="F1062" s="126"/>
      <c r="G1062" s="126"/>
      <c r="H1062" s="124"/>
      <c r="I1062" s="124"/>
      <c r="K1062" s="86"/>
      <c r="L1062" s="87"/>
      <c r="O1062" s="92"/>
      <c r="Q1062" s="93"/>
      <c r="S1062" s="100"/>
      <c r="T1062" s="91"/>
      <c r="U1062" s="101"/>
      <c r="V1062" s="61"/>
      <c r="W1062" s="61"/>
    </row>
    <row r="1063" spans="3:23" x14ac:dyDescent="0.25">
      <c r="C1063" s="127"/>
      <c r="D1063" s="128"/>
      <c r="E1063" s="128"/>
      <c r="F1063" s="128"/>
      <c r="G1063" s="128"/>
      <c r="H1063" s="124"/>
      <c r="I1063" s="124"/>
      <c r="K1063" s="86"/>
      <c r="L1063" s="87"/>
      <c r="O1063" s="92"/>
      <c r="Q1063" s="93"/>
      <c r="S1063" s="100"/>
      <c r="T1063" s="91"/>
      <c r="U1063" s="101"/>
      <c r="V1063" s="61"/>
      <c r="W1063" s="61"/>
    </row>
    <row r="1064" spans="3:23" x14ac:dyDescent="0.25">
      <c r="C1064" s="125"/>
      <c r="D1064" s="126"/>
      <c r="E1064" s="126"/>
      <c r="F1064" s="126"/>
      <c r="G1064" s="126"/>
      <c r="H1064" s="124"/>
      <c r="I1064" s="124"/>
      <c r="K1064" s="86"/>
      <c r="L1064" s="87"/>
      <c r="O1064" s="92"/>
      <c r="Q1064" s="93"/>
      <c r="S1064" s="100"/>
      <c r="T1064" s="91"/>
      <c r="U1064" s="101"/>
      <c r="V1064" s="61"/>
      <c r="W1064" s="61"/>
    </row>
    <row r="1065" spans="3:23" x14ac:dyDescent="0.25">
      <c r="C1065" s="127"/>
      <c r="D1065" s="128"/>
      <c r="E1065" s="128"/>
      <c r="F1065" s="128"/>
      <c r="G1065" s="128"/>
      <c r="H1065" s="124"/>
      <c r="I1065" s="124"/>
      <c r="K1065" s="86"/>
      <c r="L1065" s="87"/>
      <c r="O1065" s="92"/>
      <c r="Q1065" s="93"/>
      <c r="S1065" s="100"/>
      <c r="T1065" s="91"/>
      <c r="U1065" s="101"/>
      <c r="V1065" s="61"/>
      <c r="W1065" s="61"/>
    </row>
    <row r="1066" spans="3:23" x14ac:dyDescent="0.25">
      <c r="C1066" s="125"/>
      <c r="D1066" s="126"/>
      <c r="E1066" s="126"/>
      <c r="F1066" s="126"/>
      <c r="G1066" s="126"/>
      <c r="H1066" s="124"/>
      <c r="I1066" s="124"/>
      <c r="K1066" s="86"/>
      <c r="L1066" s="87"/>
      <c r="O1066" s="92"/>
      <c r="Q1066" s="93"/>
      <c r="S1066" s="100"/>
      <c r="T1066" s="91"/>
      <c r="U1066" s="101"/>
      <c r="V1066" s="61"/>
      <c r="W1066" s="61"/>
    </row>
    <row r="1067" spans="3:23" x14ac:dyDescent="0.25">
      <c r="C1067" s="127"/>
      <c r="D1067" s="128"/>
      <c r="E1067" s="128"/>
      <c r="F1067" s="128"/>
      <c r="G1067" s="128"/>
      <c r="H1067" s="124"/>
      <c r="I1067" s="124"/>
      <c r="K1067" s="86"/>
      <c r="L1067" s="87"/>
      <c r="O1067" s="92"/>
      <c r="Q1067" s="93"/>
      <c r="S1067" s="100"/>
      <c r="T1067" s="91"/>
      <c r="U1067" s="101"/>
      <c r="V1067" s="61"/>
      <c r="W1067" s="61"/>
    </row>
    <row r="1068" spans="3:23" x14ac:dyDescent="0.25">
      <c r="C1068" s="125"/>
      <c r="D1068" s="126"/>
      <c r="E1068" s="126"/>
      <c r="F1068" s="126"/>
      <c r="G1068" s="126"/>
      <c r="H1068" s="124"/>
      <c r="I1068" s="124"/>
      <c r="K1068" s="86"/>
      <c r="L1068" s="87"/>
      <c r="O1068" s="92"/>
      <c r="Q1068" s="93"/>
      <c r="S1068" s="100"/>
      <c r="T1068" s="91"/>
      <c r="U1068" s="101"/>
      <c r="V1068" s="61"/>
      <c r="W1068" s="61"/>
    </row>
    <row r="1069" spans="3:23" x14ac:dyDescent="0.25">
      <c r="C1069" s="127"/>
      <c r="D1069" s="128"/>
      <c r="E1069" s="128"/>
      <c r="F1069" s="128"/>
      <c r="G1069" s="128"/>
      <c r="H1069" s="124"/>
      <c r="I1069" s="124"/>
      <c r="K1069" s="86"/>
      <c r="L1069" s="87"/>
      <c r="O1069" s="92"/>
      <c r="Q1069" s="93"/>
      <c r="S1069" s="100"/>
      <c r="T1069" s="91"/>
      <c r="U1069" s="101"/>
      <c r="V1069" s="61"/>
      <c r="W1069" s="61"/>
    </row>
    <row r="1070" spans="3:23" x14ac:dyDescent="0.25">
      <c r="C1070" s="125"/>
      <c r="D1070" s="126"/>
      <c r="E1070" s="126"/>
      <c r="F1070" s="126"/>
      <c r="G1070" s="126"/>
      <c r="H1070" s="124"/>
      <c r="I1070" s="124"/>
      <c r="K1070" s="86"/>
      <c r="L1070" s="87"/>
      <c r="O1070" s="92"/>
      <c r="Q1070" s="93"/>
      <c r="S1070" s="100"/>
      <c r="T1070" s="91"/>
      <c r="U1070" s="101"/>
      <c r="V1070" s="61"/>
      <c r="W1070" s="61"/>
    </row>
    <row r="1071" spans="3:23" x14ac:dyDescent="0.25">
      <c r="C1071" s="127"/>
      <c r="D1071" s="128"/>
      <c r="E1071" s="128"/>
      <c r="F1071" s="128"/>
      <c r="G1071" s="128"/>
      <c r="H1071" s="124"/>
      <c r="I1071" s="124"/>
      <c r="K1071" s="86"/>
      <c r="L1071" s="87"/>
      <c r="O1071" s="92"/>
      <c r="Q1071" s="93"/>
      <c r="S1071" s="100"/>
      <c r="T1071" s="91"/>
      <c r="U1071" s="101"/>
      <c r="V1071" s="61"/>
      <c r="W1071" s="61"/>
    </row>
    <row r="1072" spans="3:23" x14ac:dyDescent="0.25">
      <c r="C1072" s="125"/>
      <c r="D1072" s="126"/>
      <c r="E1072" s="126"/>
      <c r="F1072" s="126"/>
      <c r="G1072" s="126"/>
      <c r="H1072" s="124"/>
      <c r="I1072" s="124"/>
      <c r="K1072" s="86"/>
      <c r="L1072" s="87"/>
      <c r="O1072" s="92"/>
      <c r="Q1072" s="93"/>
      <c r="S1072" s="100"/>
      <c r="T1072" s="91"/>
      <c r="U1072" s="101"/>
      <c r="V1072" s="61"/>
      <c r="W1072" s="61"/>
    </row>
    <row r="1073" spans="3:23" x14ac:dyDescent="0.25">
      <c r="C1073" s="127"/>
      <c r="D1073" s="128"/>
      <c r="E1073" s="128"/>
      <c r="F1073" s="128"/>
      <c r="G1073" s="128"/>
      <c r="H1073" s="124"/>
      <c r="I1073" s="124"/>
      <c r="K1073" s="86"/>
      <c r="L1073" s="87"/>
      <c r="O1073" s="92"/>
      <c r="Q1073" s="93"/>
      <c r="S1073" s="100"/>
      <c r="T1073" s="91"/>
      <c r="U1073" s="101"/>
      <c r="V1073" s="61"/>
      <c r="W1073" s="61"/>
    </row>
    <row r="1074" spans="3:23" x14ac:dyDescent="0.25">
      <c r="C1074" s="125"/>
      <c r="D1074" s="126"/>
      <c r="E1074" s="126"/>
      <c r="F1074" s="126"/>
      <c r="G1074" s="126"/>
      <c r="H1074" s="124"/>
      <c r="I1074" s="124"/>
      <c r="K1074" s="86"/>
      <c r="L1074" s="87"/>
      <c r="O1074" s="92"/>
      <c r="Q1074" s="93"/>
      <c r="S1074" s="100"/>
      <c r="T1074" s="91"/>
      <c r="U1074" s="101"/>
      <c r="V1074" s="61"/>
      <c r="W1074" s="61"/>
    </row>
    <row r="1075" spans="3:23" x14ac:dyDescent="0.25">
      <c r="C1075" s="127"/>
      <c r="D1075" s="128"/>
      <c r="E1075" s="128"/>
      <c r="F1075" s="128"/>
      <c r="G1075" s="128"/>
      <c r="H1075" s="124"/>
      <c r="I1075" s="124"/>
      <c r="K1075" s="86"/>
      <c r="L1075" s="87"/>
      <c r="O1075" s="92"/>
      <c r="Q1075" s="93"/>
      <c r="S1075" s="100"/>
      <c r="T1075" s="91"/>
      <c r="U1075" s="101"/>
      <c r="V1075" s="61"/>
      <c r="W1075" s="61"/>
    </row>
    <row r="1076" spans="3:23" x14ac:dyDescent="0.25">
      <c r="C1076" s="125"/>
      <c r="D1076" s="126"/>
      <c r="E1076" s="126"/>
      <c r="F1076" s="126"/>
      <c r="G1076" s="126"/>
      <c r="H1076" s="124"/>
      <c r="I1076" s="124"/>
      <c r="K1076" s="86"/>
      <c r="L1076" s="87"/>
      <c r="O1076" s="92"/>
      <c r="Q1076" s="93"/>
      <c r="S1076" s="100"/>
      <c r="T1076" s="91"/>
      <c r="U1076" s="101"/>
      <c r="V1076" s="61"/>
      <c r="W1076" s="61"/>
    </row>
    <row r="1077" spans="3:23" x14ac:dyDescent="0.25">
      <c r="C1077" s="127"/>
      <c r="D1077" s="128"/>
      <c r="E1077" s="128"/>
      <c r="F1077" s="128"/>
      <c r="G1077" s="128"/>
      <c r="H1077" s="124"/>
      <c r="I1077" s="124"/>
      <c r="K1077" s="86"/>
      <c r="L1077" s="87"/>
      <c r="O1077" s="92"/>
      <c r="Q1077" s="93"/>
      <c r="S1077" s="100"/>
      <c r="T1077" s="91"/>
      <c r="U1077" s="101"/>
      <c r="V1077" s="61"/>
      <c r="W1077" s="61"/>
    </row>
    <row r="1078" spans="3:23" x14ac:dyDescent="0.25">
      <c r="C1078" s="125"/>
      <c r="D1078" s="126"/>
      <c r="E1078" s="126"/>
      <c r="F1078" s="126"/>
      <c r="G1078" s="126"/>
      <c r="H1078" s="124"/>
      <c r="I1078" s="124"/>
      <c r="K1078" s="86"/>
      <c r="L1078" s="87"/>
      <c r="O1078" s="92"/>
      <c r="Q1078" s="93"/>
      <c r="S1078" s="100"/>
      <c r="T1078" s="91"/>
      <c r="U1078" s="101"/>
      <c r="V1078" s="61"/>
      <c r="W1078" s="61"/>
    </row>
    <row r="1079" spans="3:23" x14ac:dyDescent="0.25">
      <c r="C1079" s="127"/>
      <c r="D1079" s="128"/>
      <c r="E1079" s="128"/>
      <c r="F1079" s="128"/>
      <c r="G1079" s="128"/>
      <c r="H1079" s="124"/>
      <c r="I1079" s="124"/>
      <c r="K1079" s="86"/>
      <c r="L1079" s="87"/>
      <c r="O1079" s="92"/>
      <c r="Q1079" s="93"/>
      <c r="S1079" s="100"/>
      <c r="T1079" s="91"/>
      <c r="U1079" s="101"/>
      <c r="V1079" s="61"/>
      <c r="W1079" s="61"/>
    </row>
    <row r="1080" spans="3:23" x14ac:dyDescent="0.25">
      <c r="C1080" s="125"/>
      <c r="D1080" s="126"/>
      <c r="E1080" s="126"/>
      <c r="F1080" s="126"/>
      <c r="G1080" s="126"/>
      <c r="H1080" s="124"/>
      <c r="I1080" s="124"/>
      <c r="K1080" s="86"/>
      <c r="L1080" s="87"/>
      <c r="O1080" s="92"/>
      <c r="Q1080" s="93"/>
      <c r="S1080" s="100"/>
      <c r="T1080" s="91"/>
      <c r="U1080" s="101"/>
      <c r="V1080" s="61"/>
      <c r="W1080" s="61"/>
    </row>
    <row r="1081" spans="3:23" x14ac:dyDescent="0.25">
      <c r="C1081" s="127"/>
      <c r="D1081" s="128"/>
      <c r="E1081" s="128"/>
      <c r="F1081" s="128"/>
      <c r="G1081" s="128"/>
      <c r="H1081" s="124"/>
      <c r="I1081" s="124"/>
      <c r="K1081" s="86"/>
      <c r="L1081" s="87"/>
      <c r="O1081" s="92"/>
      <c r="Q1081" s="93"/>
      <c r="S1081" s="100"/>
      <c r="T1081" s="91"/>
      <c r="U1081" s="101"/>
      <c r="V1081" s="61"/>
      <c r="W1081" s="61"/>
    </row>
    <row r="1082" spans="3:23" x14ac:dyDescent="0.25">
      <c r="C1082" s="125"/>
      <c r="D1082" s="126"/>
      <c r="E1082" s="126"/>
      <c r="F1082" s="126"/>
      <c r="G1082" s="126"/>
      <c r="H1082" s="124"/>
      <c r="I1082" s="124"/>
      <c r="K1082" s="86"/>
      <c r="L1082" s="87"/>
      <c r="O1082" s="92"/>
      <c r="Q1082" s="93"/>
      <c r="S1082" s="100"/>
      <c r="T1082" s="91"/>
      <c r="U1082" s="101"/>
      <c r="V1082" s="61"/>
      <c r="W1082" s="61"/>
    </row>
    <row r="1083" spans="3:23" x14ac:dyDescent="0.25">
      <c r="C1083" s="127"/>
      <c r="D1083" s="128"/>
      <c r="E1083" s="128"/>
      <c r="F1083" s="128"/>
      <c r="G1083" s="128"/>
      <c r="H1083" s="124"/>
      <c r="I1083" s="124"/>
      <c r="K1083" s="86"/>
      <c r="L1083" s="87"/>
      <c r="O1083" s="92"/>
      <c r="Q1083" s="93"/>
      <c r="S1083" s="100"/>
      <c r="T1083" s="91"/>
      <c r="U1083" s="101"/>
      <c r="V1083" s="61"/>
      <c r="W1083" s="61"/>
    </row>
    <row r="1084" spans="3:23" x14ac:dyDescent="0.25">
      <c r="C1084" s="125"/>
      <c r="D1084" s="126"/>
      <c r="E1084" s="126"/>
      <c r="F1084" s="126"/>
      <c r="G1084" s="126"/>
      <c r="H1084" s="124"/>
      <c r="I1084" s="124"/>
      <c r="K1084" s="86"/>
      <c r="L1084" s="87"/>
      <c r="O1084" s="92"/>
      <c r="Q1084" s="93"/>
      <c r="S1084" s="100"/>
      <c r="T1084" s="91"/>
      <c r="U1084" s="101"/>
      <c r="V1084" s="61"/>
      <c r="W1084" s="61"/>
    </row>
    <row r="1085" spans="3:23" x14ac:dyDescent="0.25">
      <c r="C1085" s="127"/>
      <c r="D1085" s="128"/>
      <c r="E1085" s="128"/>
      <c r="F1085" s="128"/>
      <c r="G1085" s="128"/>
      <c r="H1085" s="124"/>
      <c r="I1085" s="124"/>
      <c r="K1085" s="86"/>
      <c r="L1085" s="87"/>
      <c r="O1085" s="92"/>
      <c r="Q1085" s="93"/>
      <c r="S1085" s="100"/>
      <c r="T1085" s="91"/>
      <c r="U1085" s="101"/>
      <c r="V1085" s="61"/>
      <c r="W1085" s="61"/>
    </row>
    <row r="1086" spans="3:23" x14ac:dyDescent="0.25">
      <c r="C1086" s="125"/>
      <c r="D1086" s="126"/>
      <c r="E1086" s="126"/>
      <c r="F1086" s="126"/>
      <c r="G1086" s="126"/>
      <c r="H1086" s="124"/>
      <c r="I1086" s="124"/>
      <c r="K1086" s="86"/>
      <c r="L1086" s="87"/>
      <c r="O1086" s="92"/>
      <c r="Q1086" s="93"/>
      <c r="S1086" s="100"/>
      <c r="T1086" s="91"/>
      <c r="U1086" s="101"/>
      <c r="V1086" s="61"/>
      <c r="W1086" s="61"/>
    </row>
    <row r="1087" spans="3:23" x14ac:dyDescent="0.25">
      <c r="C1087" s="127"/>
      <c r="D1087" s="128"/>
      <c r="E1087" s="128"/>
      <c r="F1087" s="128"/>
      <c r="G1087" s="128"/>
      <c r="H1087" s="124"/>
      <c r="I1087" s="124"/>
      <c r="K1087" s="86"/>
      <c r="L1087" s="87"/>
      <c r="O1087" s="92"/>
      <c r="Q1087" s="93"/>
      <c r="S1087" s="100"/>
      <c r="T1087" s="91"/>
      <c r="U1087" s="101"/>
      <c r="V1087" s="61"/>
      <c r="W1087" s="61"/>
    </row>
    <row r="1088" spans="3:23" x14ac:dyDescent="0.25">
      <c r="C1088" s="125"/>
      <c r="D1088" s="126"/>
      <c r="E1088" s="126"/>
      <c r="F1088" s="126"/>
      <c r="G1088" s="126"/>
      <c r="H1088" s="124"/>
      <c r="I1088" s="124"/>
      <c r="K1088" s="86"/>
      <c r="L1088" s="87"/>
      <c r="O1088" s="92"/>
      <c r="Q1088" s="93"/>
      <c r="S1088" s="100"/>
      <c r="T1088" s="91"/>
      <c r="U1088" s="101"/>
      <c r="V1088" s="61"/>
      <c r="W1088" s="61"/>
    </row>
    <row r="1089" spans="3:23" x14ac:dyDescent="0.25">
      <c r="C1089" s="127"/>
      <c r="D1089" s="128"/>
      <c r="E1089" s="128"/>
      <c r="F1089" s="128"/>
      <c r="G1089" s="128"/>
      <c r="H1089" s="124"/>
      <c r="I1089" s="124"/>
      <c r="K1089" s="86"/>
      <c r="L1089" s="87"/>
      <c r="O1089" s="92"/>
      <c r="Q1089" s="93"/>
      <c r="S1089" s="100"/>
      <c r="T1089" s="91"/>
      <c r="U1089" s="101"/>
      <c r="V1089" s="61"/>
      <c r="W1089" s="61"/>
    </row>
    <row r="1090" spans="3:23" x14ac:dyDescent="0.25">
      <c r="C1090" s="125"/>
      <c r="D1090" s="126"/>
      <c r="E1090" s="126"/>
      <c r="F1090" s="126"/>
      <c r="G1090" s="126"/>
      <c r="H1090" s="124"/>
      <c r="I1090" s="124"/>
      <c r="K1090" s="86"/>
      <c r="L1090" s="87"/>
      <c r="O1090" s="92"/>
      <c r="Q1090" s="93"/>
      <c r="S1090" s="100"/>
      <c r="T1090" s="91"/>
      <c r="U1090" s="101"/>
      <c r="V1090" s="61"/>
      <c r="W1090" s="61"/>
    </row>
    <row r="1091" spans="3:23" x14ac:dyDescent="0.25">
      <c r="C1091" s="127"/>
      <c r="D1091" s="128"/>
      <c r="E1091" s="128"/>
      <c r="F1091" s="128"/>
      <c r="G1091" s="128"/>
      <c r="H1091" s="124"/>
      <c r="I1091" s="124"/>
      <c r="K1091" s="86"/>
      <c r="L1091" s="87"/>
      <c r="O1091" s="92"/>
      <c r="Q1091" s="93"/>
      <c r="S1091" s="100"/>
      <c r="T1091" s="91"/>
      <c r="U1091" s="101"/>
      <c r="V1091" s="61"/>
      <c r="W1091" s="61"/>
    </row>
    <row r="1092" spans="3:23" x14ac:dyDescent="0.25">
      <c r="C1092" s="125"/>
      <c r="D1092" s="126"/>
      <c r="E1092" s="126"/>
      <c r="F1092" s="126"/>
      <c r="G1092" s="126"/>
      <c r="H1092" s="124"/>
      <c r="I1092" s="124"/>
      <c r="K1092" s="86"/>
      <c r="L1092" s="87"/>
      <c r="O1092" s="92"/>
      <c r="Q1092" s="93"/>
      <c r="S1092" s="100"/>
      <c r="T1092" s="91"/>
      <c r="U1092" s="101"/>
      <c r="V1092" s="61"/>
      <c r="W1092" s="61"/>
    </row>
    <row r="1093" spans="3:23" x14ac:dyDescent="0.25">
      <c r="C1093" s="127"/>
      <c r="D1093" s="128"/>
      <c r="E1093" s="128"/>
      <c r="F1093" s="128"/>
      <c r="G1093" s="128"/>
      <c r="H1093" s="124"/>
      <c r="I1093" s="124"/>
      <c r="K1093" s="86"/>
      <c r="L1093" s="87"/>
      <c r="O1093" s="92"/>
      <c r="Q1093" s="93"/>
      <c r="S1093" s="100"/>
      <c r="T1093" s="91"/>
      <c r="U1093" s="101"/>
      <c r="V1093" s="61"/>
      <c r="W1093" s="61"/>
    </row>
    <row r="1094" spans="3:23" x14ac:dyDescent="0.25">
      <c r="C1094" s="125"/>
      <c r="D1094" s="126"/>
      <c r="E1094" s="126"/>
      <c r="F1094" s="126"/>
      <c r="G1094" s="126"/>
      <c r="H1094" s="124"/>
      <c r="I1094" s="124"/>
      <c r="K1094" s="86"/>
      <c r="L1094" s="87"/>
      <c r="O1094" s="92"/>
      <c r="Q1094" s="93"/>
      <c r="S1094" s="100"/>
      <c r="T1094" s="91"/>
      <c r="U1094" s="101"/>
      <c r="V1094" s="61"/>
      <c r="W1094" s="61"/>
    </row>
    <row r="1095" spans="3:23" x14ac:dyDescent="0.25">
      <c r="C1095" s="127"/>
      <c r="D1095" s="128"/>
      <c r="E1095" s="128"/>
      <c r="F1095" s="128"/>
      <c r="G1095" s="128"/>
      <c r="H1095" s="124"/>
      <c r="I1095" s="124"/>
      <c r="K1095" s="86"/>
      <c r="L1095" s="87"/>
      <c r="O1095" s="92"/>
      <c r="Q1095" s="93"/>
      <c r="S1095" s="100"/>
      <c r="T1095" s="91"/>
      <c r="U1095" s="101"/>
      <c r="V1095" s="61"/>
      <c r="W1095" s="61"/>
    </row>
    <row r="1096" spans="3:23" x14ac:dyDescent="0.25">
      <c r="C1096" s="125"/>
      <c r="D1096" s="126"/>
      <c r="E1096" s="126"/>
      <c r="F1096" s="126"/>
      <c r="G1096" s="126"/>
      <c r="H1096" s="124"/>
      <c r="I1096" s="124"/>
      <c r="K1096" s="86"/>
      <c r="L1096" s="87"/>
      <c r="O1096" s="92"/>
      <c r="Q1096" s="93"/>
      <c r="S1096" s="100"/>
      <c r="T1096" s="91"/>
      <c r="U1096" s="101"/>
      <c r="V1096" s="61"/>
      <c r="W1096" s="61"/>
    </row>
    <row r="1097" spans="3:23" x14ac:dyDescent="0.25">
      <c r="C1097" s="127"/>
      <c r="D1097" s="128"/>
      <c r="E1097" s="128"/>
      <c r="F1097" s="128"/>
      <c r="G1097" s="128"/>
      <c r="H1097" s="124"/>
      <c r="I1097" s="124"/>
      <c r="K1097" s="86"/>
      <c r="L1097" s="87"/>
      <c r="O1097" s="92"/>
      <c r="Q1097" s="93"/>
      <c r="S1097" s="100"/>
      <c r="T1097" s="91"/>
      <c r="U1097" s="101"/>
      <c r="V1097" s="61"/>
      <c r="W1097" s="61"/>
    </row>
    <row r="1098" spans="3:23" x14ac:dyDescent="0.25">
      <c r="C1098" s="125"/>
      <c r="D1098" s="126"/>
      <c r="E1098" s="126"/>
      <c r="F1098" s="126"/>
      <c r="G1098" s="126"/>
      <c r="H1098" s="124"/>
      <c r="I1098" s="124"/>
      <c r="K1098" s="86"/>
      <c r="L1098" s="87"/>
      <c r="O1098" s="92"/>
      <c r="Q1098" s="93"/>
      <c r="S1098" s="100"/>
      <c r="T1098" s="91"/>
      <c r="U1098" s="101"/>
      <c r="V1098" s="61"/>
      <c r="W1098" s="61"/>
    </row>
    <row r="1099" spans="3:23" x14ac:dyDescent="0.25">
      <c r="C1099" s="127"/>
      <c r="D1099" s="128"/>
      <c r="E1099" s="128"/>
      <c r="F1099" s="128"/>
      <c r="G1099" s="128"/>
      <c r="H1099" s="124"/>
      <c r="I1099" s="124"/>
      <c r="K1099" s="86"/>
      <c r="L1099" s="87"/>
      <c r="O1099" s="92"/>
      <c r="Q1099" s="93"/>
      <c r="S1099" s="100"/>
      <c r="T1099" s="91"/>
      <c r="U1099" s="101"/>
      <c r="V1099" s="61"/>
      <c r="W1099" s="61"/>
    </row>
    <row r="1100" spans="3:23" x14ac:dyDescent="0.25">
      <c r="C1100" s="125"/>
      <c r="D1100" s="126"/>
      <c r="E1100" s="126"/>
      <c r="F1100" s="126"/>
      <c r="G1100" s="126"/>
      <c r="H1100" s="124"/>
      <c r="I1100" s="124"/>
      <c r="K1100" s="86"/>
      <c r="L1100" s="87"/>
      <c r="O1100" s="92"/>
      <c r="Q1100" s="93"/>
      <c r="S1100" s="100"/>
      <c r="T1100" s="91"/>
      <c r="U1100" s="101"/>
      <c r="V1100" s="61"/>
      <c r="W1100" s="61"/>
    </row>
    <row r="1101" spans="3:23" x14ac:dyDescent="0.25">
      <c r="C1101" s="127"/>
      <c r="D1101" s="128"/>
      <c r="E1101" s="128"/>
      <c r="F1101" s="128"/>
      <c r="G1101" s="128"/>
      <c r="H1101" s="124"/>
      <c r="I1101" s="124"/>
      <c r="K1101" s="86"/>
      <c r="L1101" s="87"/>
      <c r="O1101" s="92"/>
      <c r="Q1101" s="93"/>
      <c r="S1101" s="100"/>
      <c r="T1101" s="91"/>
      <c r="U1101" s="101"/>
      <c r="V1101" s="61"/>
      <c r="W1101" s="61"/>
    </row>
    <row r="1102" spans="3:23" x14ac:dyDescent="0.25">
      <c r="C1102" s="125"/>
      <c r="D1102" s="126"/>
      <c r="E1102" s="126"/>
      <c r="F1102" s="126"/>
      <c r="G1102" s="126"/>
      <c r="H1102" s="124"/>
      <c r="I1102" s="124"/>
      <c r="K1102" s="86"/>
      <c r="L1102" s="87"/>
      <c r="O1102" s="92"/>
      <c r="Q1102" s="93"/>
      <c r="S1102" s="100"/>
      <c r="T1102" s="91"/>
      <c r="U1102" s="101"/>
      <c r="V1102" s="61"/>
      <c r="W1102" s="61"/>
    </row>
    <row r="1103" spans="3:23" x14ac:dyDescent="0.25">
      <c r="C1103" s="127"/>
      <c r="D1103" s="128"/>
      <c r="E1103" s="128"/>
      <c r="F1103" s="128"/>
      <c r="G1103" s="128"/>
      <c r="H1103" s="124"/>
      <c r="I1103" s="124"/>
      <c r="K1103" s="86"/>
      <c r="L1103" s="87"/>
      <c r="O1103" s="92"/>
      <c r="Q1103" s="93"/>
      <c r="S1103" s="100"/>
      <c r="T1103" s="91"/>
      <c r="U1103" s="101"/>
      <c r="V1103" s="61"/>
      <c r="W1103" s="61"/>
    </row>
    <row r="1104" spans="3:23" x14ac:dyDescent="0.25">
      <c r="C1104" s="125"/>
      <c r="D1104" s="126"/>
      <c r="E1104" s="126"/>
      <c r="F1104" s="126"/>
      <c r="G1104" s="126"/>
      <c r="H1104" s="124"/>
      <c r="I1104" s="124"/>
      <c r="K1104" s="86"/>
      <c r="L1104" s="87"/>
      <c r="O1104" s="92"/>
      <c r="Q1104" s="93"/>
      <c r="S1104" s="100"/>
      <c r="T1104" s="91"/>
      <c r="U1104" s="101"/>
      <c r="V1104" s="61"/>
      <c r="W1104" s="61"/>
    </row>
    <row r="1105" spans="3:23" x14ac:dyDescent="0.25">
      <c r="C1105" s="127"/>
      <c r="D1105" s="128"/>
      <c r="E1105" s="128"/>
      <c r="F1105" s="128"/>
      <c r="G1105" s="128"/>
      <c r="H1105" s="124"/>
      <c r="I1105" s="124"/>
      <c r="K1105" s="86"/>
      <c r="L1105" s="87"/>
      <c r="O1105" s="92"/>
      <c r="Q1105" s="93"/>
      <c r="S1105" s="100"/>
      <c r="T1105" s="91"/>
      <c r="U1105" s="101"/>
      <c r="V1105" s="61"/>
      <c r="W1105" s="61"/>
    </row>
    <row r="1106" spans="3:23" x14ac:dyDescent="0.25">
      <c r="C1106" s="125"/>
      <c r="D1106" s="126"/>
      <c r="E1106" s="126"/>
      <c r="F1106" s="126"/>
      <c r="G1106" s="126"/>
      <c r="H1106" s="124"/>
      <c r="I1106" s="124"/>
      <c r="K1106" s="86"/>
      <c r="L1106" s="87"/>
      <c r="O1106" s="92"/>
      <c r="Q1106" s="93"/>
      <c r="S1106" s="100"/>
      <c r="T1106" s="91"/>
      <c r="U1106" s="101"/>
      <c r="V1106" s="61"/>
      <c r="W1106" s="61"/>
    </row>
    <row r="1107" spans="3:23" x14ac:dyDescent="0.25">
      <c r="C1107" s="127"/>
      <c r="D1107" s="128"/>
      <c r="E1107" s="128"/>
      <c r="F1107" s="128"/>
      <c r="G1107" s="128"/>
      <c r="H1107" s="124"/>
      <c r="I1107" s="124"/>
      <c r="K1107" s="86"/>
      <c r="L1107" s="87"/>
      <c r="O1107" s="92"/>
      <c r="Q1107" s="93"/>
      <c r="S1107" s="100"/>
      <c r="T1107" s="91"/>
      <c r="U1107" s="101"/>
      <c r="V1107" s="61"/>
      <c r="W1107" s="61"/>
    </row>
    <row r="1108" spans="3:23" x14ac:dyDescent="0.25">
      <c r="C1108" s="125"/>
      <c r="D1108" s="126"/>
      <c r="E1108" s="126"/>
      <c r="F1108" s="126"/>
      <c r="G1108" s="126"/>
      <c r="H1108" s="124"/>
      <c r="I1108" s="124"/>
      <c r="K1108" s="86"/>
      <c r="L1108" s="87"/>
      <c r="O1108" s="92"/>
      <c r="Q1108" s="93"/>
      <c r="S1108" s="100"/>
      <c r="T1108" s="91"/>
      <c r="U1108" s="101"/>
      <c r="V1108" s="61"/>
      <c r="W1108" s="61"/>
    </row>
    <row r="1109" spans="3:23" x14ac:dyDescent="0.25">
      <c r="C1109" s="127"/>
      <c r="D1109" s="128"/>
      <c r="E1109" s="128"/>
      <c r="F1109" s="128"/>
      <c r="G1109" s="128"/>
      <c r="H1109" s="124"/>
      <c r="I1109" s="124"/>
      <c r="K1109" s="86"/>
      <c r="L1109" s="87"/>
      <c r="O1109" s="92"/>
      <c r="Q1109" s="93"/>
      <c r="S1109" s="100"/>
      <c r="T1109" s="91"/>
      <c r="U1109" s="101"/>
      <c r="V1109" s="61"/>
      <c r="W1109" s="61"/>
    </row>
    <row r="1110" spans="3:23" x14ac:dyDescent="0.25">
      <c r="C1110" s="125"/>
      <c r="D1110" s="126"/>
      <c r="E1110" s="126"/>
      <c r="F1110" s="126"/>
      <c r="G1110" s="126"/>
      <c r="H1110" s="124"/>
      <c r="I1110" s="124"/>
      <c r="K1110" s="86"/>
      <c r="L1110" s="87"/>
      <c r="O1110" s="92"/>
      <c r="Q1110" s="93"/>
      <c r="S1110" s="100"/>
      <c r="T1110" s="91"/>
      <c r="U1110" s="101"/>
      <c r="V1110" s="61"/>
      <c r="W1110" s="61"/>
    </row>
    <row r="1111" spans="3:23" x14ac:dyDescent="0.25">
      <c r="C1111" s="127"/>
      <c r="D1111" s="128"/>
      <c r="E1111" s="128"/>
      <c r="F1111" s="128"/>
      <c r="G1111" s="128"/>
      <c r="H1111" s="124"/>
      <c r="I1111" s="124"/>
      <c r="K1111" s="86"/>
      <c r="L1111" s="87"/>
      <c r="O1111" s="92"/>
      <c r="Q1111" s="93"/>
      <c r="S1111" s="100"/>
      <c r="T1111" s="91"/>
      <c r="U1111" s="101"/>
      <c r="V1111" s="61"/>
      <c r="W1111" s="61"/>
    </row>
    <row r="1112" spans="3:23" x14ac:dyDescent="0.25">
      <c r="C1112" s="125"/>
      <c r="D1112" s="126"/>
      <c r="E1112" s="126"/>
      <c r="F1112" s="126"/>
      <c r="G1112" s="126"/>
      <c r="H1112" s="124"/>
      <c r="I1112" s="124"/>
      <c r="K1112" s="86"/>
      <c r="L1112" s="87"/>
      <c r="O1112" s="92"/>
      <c r="Q1112" s="93"/>
      <c r="S1112" s="100"/>
      <c r="T1112" s="91"/>
      <c r="U1112" s="101"/>
      <c r="V1112" s="61"/>
      <c r="W1112" s="61"/>
    </row>
    <row r="1113" spans="3:23" x14ac:dyDescent="0.25">
      <c r="C1113" s="127"/>
      <c r="D1113" s="128"/>
      <c r="E1113" s="128"/>
      <c r="F1113" s="128"/>
      <c r="G1113" s="128"/>
      <c r="H1113" s="124"/>
      <c r="I1113" s="124"/>
      <c r="K1113" s="86"/>
      <c r="L1113" s="87"/>
      <c r="O1113" s="92"/>
      <c r="Q1113" s="93"/>
      <c r="S1113" s="100"/>
      <c r="T1113" s="91"/>
      <c r="U1113" s="101"/>
      <c r="V1113" s="61"/>
      <c r="W1113" s="61"/>
    </row>
    <row r="1114" spans="3:23" x14ac:dyDescent="0.25">
      <c r="C1114" s="125"/>
      <c r="D1114" s="126"/>
      <c r="E1114" s="126"/>
      <c r="F1114" s="126"/>
      <c r="G1114" s="126"/>
      <c r="H1114" s="124"/>
      <c r="I1114" s="124"/>
      <c r="K1114" s="86"/>
      <c r="L1114" s="87"/>
      <c r="O1114" s="92"/>
      <c r="Q1114" s="93"/>
      <c r="S1114" s="100"/>
      <c r="T1114" s="91"/>
      <c r="U1114" s="101"/>
      <c r="V1114" s="61"/>
      <c r="W1114" s="61"/>
    </row>
    <row r="1115" spans="3:23" x14ac:dyDescent="0.25">
      <c r="C1115" s="127"/>
      <c r="D1115" s="128"/>
      <c r="E1115" s="128"/>
      <c r="F1115" s="128"/>
      <c r="G1115" s="128"/>
      <c r="H1115" s="124"/>
      <c r="I1115" s="124"/>
      <c r="K1115" s="86"/>
      <c r="L1115" s="87"/>
      <c r="O1115" s="92"/>
      <c r="Q1115" s="93"/>
      <c r="S1115" s="100"/>
      <c r="T1115" s="91"/>
      <c r="U1115" s="101"/>
      <c r="V1115" s="61"/>
      <c r="W1115" s="61"/>
    </row>
    <row r="1116" spans="3:23" x14ac:dyDescent="0.25">
      <c r="C1116" s="125"/>
      <c r="D1116" s="126"/>
      <c r="E1116" s="126"/>
      <c r="F1116" s="126"/>
      <c r="G1116" s="126"/>
      <c r="H1116" s="124"/>
      <c r="I1116" s="124"/>
      <c r="K1116" s="86"/>
      <c r="L1116" s="87"/>
      <c r="O1116" s="92"/>
      <c r="Q1116" s="93"/>
      <c r="S1116" s="100"/>
      <c r="T1116" s="91"/>
      <c r="U1116" s="101"/>
      <c r="V1116" s="61"/>
      <c r="W1116" s="61"/>
    </row>
    <row r="1117" spans="3:23" x14ac:dyDescent="0.25">
      <c r="C1117" s="127"/>
      <c r="D1117" s="128"/>
      <c r="E1117" s="128"/>
      <c r="F1117" s="128"/>
      <c r="G1117" s="128"/>
      <c r="H1117" s="124"/>
      <c r="I1117" s="124"/>
      <c r="K1117" s="86"/>
      <c r="L1117" s="87"/>
      <c r="O1117" s="92"/>
      <c r="Q1117" s="93"/>
      <c r="S1117" s="100"/>
      <c r="T1117" s="91"/>
      <c r="U1117" s="101"/>
      <c r="V1117" s="61"/>
      <c r="W1117" s="61"/>
    </row>
    <row r="1118" spans="3:23" x14ac:dyDescent="0.25">
      <c r="C1118" s="125"/>
      <c r="D1118" s="126"/>
      <c r="E1118" s="126"/>
      <c r="F1118" s="126"/>
      <c r="G1118" s="126"/>
      <c r="H1118" s="124"/>
      <c r="I1118" s="124"/>
      <c r="K1118" s="86"/>
      <c r="L1118" s="87"/>
      <c r="O1118" s="92"/>
      <c r="Q1118" s="93"/>
      <c r="S1118" s="100"/>
      <c r="T1118" s="91"/>
      <c r="U1118" s="101"/>
      <c r="V1118" s="61"/>
      <c r="W1118" s="61"/>
    </row>
    <row r="1119" spans="3:23" x14ac:dyDescent="0.25">
      <c r="C1119" s="127"/>
      <c r="D1119" s="128"/>
      <c r="E1119" s="128"/>
      <c r="F1119" s="128"/>
      <c r="G1119" s="128"/>
      <c r="H1119" s="124"/>
      <c r="I1119" s="124"/>
      <c r="K1119" s="86"/>
      <c r="L1119" s="87"/>
      <c r="O1119" s="92"/>
      <c r="Q1119" s="93"/>
      <c r="S1119" s="100"/>
      <c r="T1119" s="91"/>
      <c r="U1119" s="101"/>
      <c r="V1119" s="61"/>
      <c r="W1119" s="61"/>
    </row>
    <row r="1120" spans="3:23" x14ac:dyDescent="0.25">
      <c r="C1120" s="125"/>
      <c r="D1120" s="126"/>
      <c r="E1120" s="126"/>
      <c r="F1120" s="126"/>
      <c r="G1120" s="126"/>
      <c r="H1120" s="124"/>
      <c r="I1120" s="124"/>
      <c r="K1120" s="86"/>
      <c r="L1120" s="87"/>
      <c r="O1120" s="92"/>
      <c r="Q1120" s="93"/>
      <c r="S1120" s="100"/>
      <c r="T1120" s="91"/>
      <c r="U1120" s="101"/>
      <c r="V1120" s="61"/>
      <c r="W1120" s="61"/>
    </row>
    <row r="1121" spans="3:23" x14ac:dyDescent="0.25">
      <c r="C1121" s="127"/>
      <c r="D1121" s="128"/>
      <c r="E1121" s="128"/>
      <c r="F1121" s="128"/>
      <c r="G1121" s="128"/>
      <c r="H1121" s="124"/>
      <c r="I1121" s="124"/>
      <c r="K1121" s="86"/>
      <c r="L1121" s="87"/>
      <c r="O1121" s="92"/>
      <c r="Q1121" s="93"/>
      <c r="S1121" s="100"/>
      <c r="T1121" s="91"/>
      <c r="U1121" s="101"/>
      <c r="V1121" s="61"/>
      <c r="W1121" s="61"/>
    </row>
    <row r="1122" spans="3:23" x14ac:dyDescent="0.25">
      <c r="C1122" s="125"/>
      <c r="D1122" s="126"/>
      <c r="E1122" s="126"/>
      <c r="F1122" s="126"/>
      <c r="G1122" s="126"/>
      <c r="H1122" s="124"/>
      <c r="I1122" s="124"/>
      <c r="K1122" s="86"/>
      <c r="L1122" s="87"/>
      <c r="O1122" s="92"/>
      <c r="Q1122" s="93"/>
      <c r="S1122" s="100"/>
      <c r="T1122" s="91"/>
      <c r="U1122" s="101"/>
      <c r="V1122" s="61"/>
      <c r="W1122" s="61"/>
    </row>
    <row r="1123" spans="3:23" x14ac:dyDescent="0.25">
      <c r="C1123" s="127"/>
      <c r="D1123" s="128"/>
      <c r="E1123" s="128"/>
      <c r="F1123" s="128"/>
      <c r="G1123" s="128"/>
      <c r="H1123" s="124"/>
      <c r="I1123" s="124"/>
      <c r="K1123" s="86"/>
      <c r="L1123" s="87"/>
      <c r="O1123" s="92"/>
      <c r="Q1123" s="93"/>
      <c r="S1123" s="100"/>
      <c r="T1123" s="91"/>
      <c r="U1123" s="101"/>
      <c r="V1123" s="61"/>
      <c r="W1123" s="61"/>
    </row>
    <row r="1124" spans="3:23" x14ac:dyDescent="0.25">
      <c r="C1124" s="125"/>
      <c r="D1124" s="126"/>
      <c r="E1124" s="126"/>
      <c r="F1124" s="126"/>
      <c r="G1124" s="126"/>
      <c r="H1124" s="124"/>
      <c r="I1124" s="124"/>
      <c r="K1124" s="86"/>
      <c r="L1124" s="87"/>
      <c r="O1124" s="92"/>
      <c r="Q1124" s="93"/>
      <c r="S1124" s="100"/>
      <c r="T1124" s="91"/>
      <c r="U1124" s="101"/>
      <c r="V1124" s="61"/>
      <c r="W1124" s="61"/>
    </row>
    <row r="1125" spans="3:23" x14ac:dyDescent="0.25">
      <c r="C1125" s="127"/>
      <c r="D1125" s="128"/>
      <c r="E1125" s="128"/>
      <c r="F1125" s="128"/>
      <c r="G1125" s="128"/>
      <c r="H1125" s="124"/>
      <c r="I1125" s="124"/>
      <c r="K1125" s="86"/>
      <c r="L1125" s="87"/>
      <c r="O1125" s="92"/>
      <c r="Q1125" s="93"/>
      <c r="S1125" s="100"/>
      <c r="T1125" s="91"/>
      <c r="U1125" s="101"/>
      <c r="V1125" s="61"/>
      <c r="W1125" s="61"/>
    </row>
    <row r="1126" spans="3:23" x14ac:dyDescent="0.25">
      <c r="C1126" s="125"/>
      <c r="D1126" s="126"/>
      <c r="E1126" s="126"/>
      <c r="F1126" s="126"/>
      <c r="G1126" s="126"/>
      <c r="H1126" s="124"/>
      <c r="I1126" s="124"/>
      <c r="K1126" s="86"/>
      <c r="L1126" s="87"/>
      <c r="O1126" s="92"/>
      <c r="Q1126" s="93"/>
      <c r="S1126" s="100"/>
      <c r="T1126" s="91"/>
      <c r="U1126" s="101"/>
      <c r="V1126" s="61"/>
      <c r="W1126" s="61"/>
    </row>
    <row r="1127" spans="3:23" x14ac:dyDescent="0.25">
      <c r="C1127" s="127"/>
      <c r="D1127" s="128"/>
      <c r="E1127" s="128"/>
      <c r="F1127" s="128"/>
      <c r="G1127" s="128"/>
      <c r="H1127" s="124"/>
      <c r="I1127" s="124"/>
      <c r="K1127" s="86"/>
      <c r="L1127" s="87"/>
      <c r="O1127" s="92"/>
      <c r="Q1127" s="93"/>
      <c r="S1127" s="100"/>
      <c r="T1127" s="91"/>
      <c r="U1127" s="101"/>
      <c r="V1127" s="61"/>
      <c r="W1127" s="61"/>
    </row>
    <row r="1128" spans="3:23" x14ac:dyDescent="0.25">
      <c r="C1128" s="125"/>
      <c r="D1128" s="126"/>
      <c r="E1128" s="126"/>
      <c r="F1128" s="126"/>
      <c r="G1128" s="126"/>
      <c r="H1128" s="124"/>
      <c r="I1128" s="124"/>
      <c r="K1128" s="86"/>
      <c r="L1128" s="87"/>
      <c r="O1128" s="92"/>
      <c r="Q1128" s="93"/>
      <c r="S1128" s="100"/>
      <c r="T1128" s="91"/>
      <c r="U1128" s="101"/>
      <c r="V1128" s="61"/>
      <c r="W1128" s="61"/>
    </row>
    <row r="1129" spans="3:23" x14ac:dyDescent="0.25">
      <c r="C1129" s="127"/>
      <c r="D1129" s="128"/>
      <c r="E1129" s="128"/>
      <c r="F1129" s="128"/>
      <c r="G1129" s="128"/>
      <c r="H1129" s="124"/>
      <c r="I1129" s="124"/>
      <c r="K1129" s="86"/>
      <c r="L1129" s="87"/>
      <c r="O1129" s="92"/>
      <c r="Q1129" s="93"/>
      <c r="S1129" s="100"/>
      <c r="T1129" s="91"/>
      <c r="U1129" s="101"/>
      <c r="V1129" s="61"/>
      <c r="W1129" s="61"/>
    </row>
    <row r="1130" spans="3:23" x14ac:dyDescent="0.25">
      <c r="C1130" s="125"/>
      <c r="D1130" s="126"/>
      <c r="E1130" s="126"/>
      <c r="F1130" s="126"/>
      <c r="G1130" s="126"/>
      <c r="H1130" s="124"/>
      <c r="I1130" s="124"/>
      <c r="K1130" s="86"/>
      <c r="L1130" s="87"/>
      <c r="O1130" s="92"/>
      <c r="Q1130" s="93"/>
      <c r="S1130" s="100"/>
      <c r="T1130" s="91"/>
      <c r="U1130" s="101"/>
      <c r="V1130" s="61"/>
      <c r="W1130" s="61"/>
    </row>
    <row r="1131" spans="3:23" x14ac:dyDescent="0.25">
      <c r="C1131" s="127"/>
      <c r="D1131" s="128"/>
      <c r="E1131" s="128"/>
      <c r="F1131" s="128"/>
      <c r="G1131" s="128"/>
      <c r="H1131" s="124"/>
      <c r="I1131" s="124"/>
      <c r="K1131" s="86"/>
      <c r="L1131" s="87"/>
      <c r="O1131" s="92"/>
      <c r="Q1131" s="93"/>
      <c r="S1131" s="100"/>
      <c r="T1131" s="91"/>
      <c r="U1131" s="101"/>
      <c r="V1131" s="61"/>
      <c r="W1131" s="61"/>
    </row>
    <row r="1132" spans="3:23" x14ac:dyDescent="0.25">
      <c r="C1132" s="125"/>
      <c r="D1132" s="126"/>
      <c r="E1132" s="126"/>
      <c r="F1132" s="126"/>
      <c r="G1132" s="126"/>
      <c r="H1132" s="124"/>
      <c r="I1132" s="124"/>
      <c r="K1132" s="86"/>
      <c r="L1132" s="87"/>
      <c r="O1132" s="92"/>
      <c r="Q1132" s="93"/>
      <c r="S1132" s="100"/>
      <c r="T1132" s="91"/>
      <c r="U1132" s="101"/>
      <c r="V1132" s="61"/>
      <c r="W1132" s="61"/>
    </row>
    <row r="1133" spans="3:23" x14ac:dyDescent="0.25">
      <c r="C1133" s="127"/>
      <c r="D1133" s="128"/>
      <c r="E1133" s="128"/>
      <c r="F1133" s="128"/>
      <c r="G1133" s="128"/>
      <c r="H1133" s="124"/>
      <c r="I1133" s="124"/>
      <c r="K1133" s="86"/>
      <c r="L1133" s="87"/>
      <c r="O1133" s="92"/>
      <c r="Q1133" s="93"/>
      <c r="S1133" s="100"/>
      <c r="T1133" s="91"/>
      <c r="U1133" s="101"/>
      <c r="V1133" s="61"/>
      <c r="W1133" s="61"/>
    </row>
    <row r="1134" spans="3:23" x14ac:dyDescent="0.25">
      <c r="C1134" s="125"/>
      <c r="D1134" s="126"/>
      <c r="E1134" s="126"/>
      <c r="F1134" s="126"/>
      <c r="G1134" s="126"/>
      <c r="H1134" s="124"/>
      <c r="I1134" s="124"/>
      <c r="K1134" s="86"/>
      <c r="L1134" s="87"/>
      <c r="O1134" s="92"/>
      <c r="Q1134" s="93"/>
      <c r="S1134" s="100"/>
      <c r="T1134" s="91"/>
      <c r="U1134" s="101"/>
      <c r="V1134" s="61"/>
      <c r="W1134" s="61"/>
    </row>
    <row r="1135" spans="3:23" x14ac:dyDescent="0.25">
      <c r="C1135" s="127"/>
      <c r="D1135" s="128"/>
      <c r="E1135" s="128"/>
      <c r="F1135" s="128"/>
      <c r="G1135" s="128"/>
      <c r="H1135" s="124"/>
      <c r="I1135" s="124"/>
      <c r="K1135" s="86"/>
      <c r="L1135" s="87"/>
      <c r="O1135" s="92"/>
      <c r="Q1135" s="93"/>
      <c r="S1135" s="100"/>
      <c r="T1135" s="91"/>
      <c r="U1135" s="101"/>
      <c r="V1135" s="61"/>
      <c r="W1135" s="61"/>
    </row>
    <row r="1136" spans="3:23" x14ac:dyDescent="0.25">
      <c r="C1136" s="125"/>
      <c r="D1136" s="126"/>
      <c r="E1136" s="126"/>
      <c r="F1136" s="126"/>
      <c r="G1136" s="126"/>
      <c r="H1136" s="124"/>
      <c r="I1136" s="124"/>
      <c r="K1136" s="86"/>
      <c r="L1136" s="87"/>
      <c r="O1136" s="92"/>
      <c r="Q1136" s="93"/>
      <c r="S1136" s="100"/>
      <c r="T1136" s="91"/>
      <c r="U1136" s="101"/>
      <c r="V1136" s="61"/>
      <c r="W1136" s="61"/>
    </row>
    <row r="1137" spans="3:23" x14ac:dyDescent="0.25">
      <c r="C1137" s="127"/>
      <c r="D1137" s="128"/>
      <c r="E1137" s="128"/>
      <c r="F1137" s="128"/>
      <c r="G1137" s="128"/>
      <c r="H1137" s="124"/>
      <c r="I1137" s="124"/>
      <c r="K1137" s="86"/>
      <c r="L1137" s="87"/>
      <c r="O1137" s="92"/>
      <c r="Q1137" s="93"/>
      <c r="S1137" s="100"/>
      <c r="T1137" s="91"/>
      <c r="U1137" s="101"/>
      <c r="V1137" s="61"/>
      <c r="W1137" s="61"/>
    </row>
    <row r="1138" spans="3:23" x14ac:dyDescent="0.25">
      <c r="C1138" s="125"/>
      <c r="D1138" s="126"/>
      <c r="E1138" s="126"/>
      <c r="F1138" s="126"/>
      <c r="G1138" s="126"/>
      <c r="H1138" s="124"/>
      <c r="I1138" s="124"/>
      <c r="K1138" s="86"/>
      <c r="L1138" s="87"/>
      <c r="O1138" s="92"/>
      <c r="Q1138" s="93"/>
      <c r="S1138" s="100"/>
      <c r="T1138" s="91"/>
      <c r="U1138" s="101"/>
      <c r="V1138" s="61"/>
      <c r="W1138" s="61"/>
    </row>
    <row r="1139" spans="3:23" x14ac:dyDescent="0.25">
      <c r="C1139" s="127"/>
      <c r="D1139" s="128"/>
      <c r="E1139" s="128"/>
      <c r="F1139" s="128"/>
      <c r="G1139" s="128"/>
      <c r="H1139" s="124"/>
      <c r="I1139" s="124"/>
      <c r="K1139" s="86"/>
      <c r="L1139" s="87"/>
      <c r="O1139" s="92"/>
      <c r="Q1139" s="93"/>
      <c r="S1139" s="100"/>
      <c r="T1139" s="91"/>
      <c r="U1139" s="101"/>
      <c r="V1139" s="61"/>
      <c r="W1139" s="61"/>
    </row>
    <row r="1140" spans="3:23" x14ac:dyDescent="0.25">
      <c r="C1140" s="125"/>
      <c r="D1140" s="126"/>
      <c r="E1140" s="126"/>
      <c r="F1140" s="126"/>
      <c r="G1140" s="126"/>
      <c r="H1140" s="124"/>
      <c r="I1140" s="124"/>
      <c r="K1140" s="86"/>
      <c r="L1140" s="87"/>
      <c r="O1140" s="92"/>
      <c r="Q1140" s="93"/>
      <c r="S1140" s="100"/>
      <c r="T1140" s="91"/>
      <c r="U1140" s="101"/>
      <c r="V1140" s="61"/>
      <c r="W1140" s="61"/>
    </row>
    <row r="1141" spans="3:23" x14ac:dyDescent="0.25">
      <c r="C1141" s="127"/>
      <c r="D1141" s="128"/>
      <c r="E1141" s="128"/>
      <c r="F1141" s="128"/>
      <c r="G1141" s="128"/>
      <c r="H1141" s="124"/>
      <c r="I1141" s="124"/>
      <c r="K1141" s="86"/>
      <c r="L1141" s="87"/>
      <c r="O1141" s="92"/>
      <c r="Q1141" s="93"/>
      <c r="S1141" s="100"/>
      <c r="T1141" s="91"/>
      <c r="U1141" s="101"/>
      <c r="V1141" s="61"/>
      <c r="W1141" s="61"/>
    </row>
    <row r="1142" spans="3:23" x14ac:dyDescent="0.25">
      <c r="C1142" s="125"/>
      <c r="D1142" s="126"/>
      <c r="E1142" s="126"/>
      <c r="F1142" s="126"/>
      <c r="G1142" s="126"/>
      <c r="H1142" s="124"/>
      <c r="I1142" s="124"/>
      <c r="K1142" s="86"/>
      <c r="L1142" s="87"/>
      <c r="O1142" s="92"/>
      <c r="Q1142" s="93"/>
      <c r="S1142" s="100"/>
      <c r="T1142" s="91"/>
      <c r="U1142" s="101"/>
      <c r="V1142" s="61"/>
      <c r="W1142" s="61"/>
    </row>
    <row r="1143" spans="3:23" x14ac:dyDescent="0.25">
      <c r="C1143" s="127"/>
      <c r="D1143" s="128"/>
      <c r="E1143" s="128"/>
      <c r="F1143" s="128"/>
      <c r="G1143" s="128"/>
      <c r="H1143" s="124"/>
      <c r="I1143" s="124"/>
      <c r="K1143" s="86"/>
      <c r="L1143" s="87"/>
      <c r="O1143" s="92"/>
      <c r="Q1143" s="93"/>
      <c r="S1143" s="100"/>
      <c r="T1143" s="91"/>
      <c r="U1143" s="101"/>
      <c r="V1143" s="61"/>
      <c r="W1143" s="61"/>
    </row>
    <row r="1144" spans="3:23" x14ac:dyDescent="0.25">
      <c r="C1144" s="125"/>
      <c r="D1144" s="126"/>
      <c r="E1144" s="126"/>
      <c r="F1144" s="126"/>
      <c r="G1144" s="126"/>
      <c r="H1144" s="124"/>
      <c r="I1144" s="124"/>
      <c r="K1144" s="86"/>
      <c r="L1144" s="87"/>
      <c r="O1144" s="92"/>
      <c r="Q1144" s="93"/>
      <c r="S1144" s="100"/>
      <c r="T1144" s="91"/>
      <c r="U1144" s="101"/>
      <c r="V1144" s="61"/>
      <c r="W1144" s="61"/>
    </row>
    <row r="1145" spans="3:23" x14ac:dyDescent="0.25">
      <c r="C1145" s="127"/>
      <c r="D1145" s="128"/>
      <c r="E1145" s="128"/>
      <c r="F1145" s="128"/>
      <c r="G1145" s="128"/>
      <c r="H1145" s="124"/>
      <c r="I1145" s="124"/>
      <c r="K1145" s="86"/>
      <c r="L1145" s="87"/>
      <c r="O1145" s="92"/>
      <c r="Q1145" s="93"/>
      <c r="S1145" s="100"/>
      <c r="T1145" s="91"/>
      <c r="U1145" s="101"/>
      <c r="V1145" s="61"/>
      <c r="W1145" s="61"/>
    </row>
    <row r="1146" spans="3:23" x14ac:dyDescent="0.25">
      <c r="C1146" s="125"/>
      <c r="D1146" s="126"/>
      <c r="E1146" s="126"/>
      <c r="F1146" s="126"/>
      <c r="G1146" s="126"/>
      <c r="H1146" s="124"/>
      <c r="I1146" s="124"/>
      <c r="K1146" s="86"/>
      <c r="L1146" s="87"/>
      <c r="O1146" s="92"/>
      <c r="Q1146" s="93"/>
      <c r="S1146" s="100"/>
      <c r="T1146" s="91"/>
      <c r="U1146" s="101"/>
      <c r="V1146" s="61"/>
      <c r="W1146" s="61"/>
    </row>
    <row r="1147" spans="3:23" x14ac:dyDescent="0.25">
      <c r="C1147" s="127"/>
      <c r="D1147" s="128"/>
      <c r="E1147" s="128"/>
      <c r="F1147" s="128"/>
      <c r="G1147" s="128"/>
      <c r="H1147" s="124"/>
      <c r="I1147" s="124"/>
      <c r="K1147" s="86"/>
      <c r="L1147" s="87"/>
      <c r="O1147" s="92"/>
      <c r="Q1147" s="93"/>
      <c r="S1147" s="100"/>
      <c r="T1147" s="91"/>
      <c r="U1147" s="101"/>
      <c r="V1147" s="61"/>
      <c r="W1147" s="61"/>
    </row>
    <row r="1148" spans="3:23" x14ac:dyDescent="0.25">
      <c r="C1148" s="125"/>
      <c r="D1148" s="126"/>
      <c r="E1148" s="126"/>
      <c r="F1148" s="126"/>
      <c r="G1148" s="126"/>
      <c r="H1148" s="124"/>
      <c r="I1148" s="124"/>
      <c r="K1148" s="86"/>
      <c r="L1148" s="87"/>
      <c r="O1148" s="92"/>
      <c r="Q1148" s="93"/>
      <c r="S1148" s="100"/>
      <c r="T1148" s="91"/>
      <c r="U1148" s="101"/>
      <c r="V1148" s="61"/>
      <c r="W1148" s="61"/>
    </row>
    <row r="1149" spans="3:23" x14ac:dyDescent="0.25">
      <c r="C1149" s="127"/>
      <c r="D1149" s="128"/>
      <c r="E1149" s="128"/>
      <c r="F1149" s="128"/>
      <c r="G1149" s="128"/>
      <c r="H1149" s="124"/>
      <c r="I1149" s="124"/>
      <c r="K1149" s="86"/>
      <c r="L1149" s="87"/>
      <c r="O1149" s="92"/>
      <c r="Q1149" s="93"/>
      <c r="S1149" s="100"/>
      <c r="T1149" s="91"/>
      <c r="U1149" s="101"/>
      <c r="V1149" s="61"/>
      <c r="W1149" s="61"/>
    </row>
    <row r="1150" spans="3:23" x14ac:dyDescent="0.25">
      <c r="C1150" s="125"/>
      <c r="D1150" s="126"/>
      <c r="E1150" s="126"/>
      <c r="F1150" s="126"/>
      <c r="G1150" s="126"/>
      <c r="H1150" s="124"/>
      <c r="I1150" s="124"/>
      <c r="K1150" s="86"/>
      <c r="L1150" s="87"/>
      <c r="O1150" s="92"/>
      <c r="Q1150" s="93"/>
      <c r="S1150" s="100"/>
      <c r="T1150" s="91"/>
      <c r="U1150" s="101"/>
      <c r="V1150" s="61"/>
      <c r="W1150" s="61"/>
    </row>
    <row r="1151" spans="3:23" x14ac:dyDescent="0.25">
      <c r="C1151" s="127"/>
      <c r="D1151" s="128"/>
      <c r="E1151" s="128"/>
      <c r="F1151" s="128"/>
      <c r="G1151" s="128"/>
      <c r="H1151" s="124"/>
      <c r="I1151" s="124"/>
      <c r="K1151" s="86"/>
      <c r="L1151" s="87"/>
      <c r="O1151" s="92"/>
      <c r="Q1151" s="93"/>
      <c r="S1151" s="100"/>
      <c r="T1151" s="91"/>
      <c r="U1151" s="101"/>
      <c r="V1151" s="61"/>
      <c r="W1151" s="61"/>
    </row>
    <row r="1152" spans="3:23" x14ac:dyDescent="0.25">
      <c r="C1152" s="125"/>
      <c r="D1152" s="126"/>
      <c r="E1152" s="126"/>
      <c r="F1152" s="126"/>
      <c r="G1152" s="126"/>
      <c r="H1152" s="124"/>
      <c r="I1152" s="124"/>
      <c r="K1152" s="86"/>
      <c r="L1152" s="87"/>
      <c r="O1152" s="92"/>
      <c r="Q1152" s="93"/>
      <c r="S1152" s="100"/>
      <c r="T1152" s="91"/>
      <c r="U1152" s="101"/>
      <c r="V1152" s="61"/>
      <c r="W1152" s="61"/>
    </row>
    <row r="1153" spans="3:23" x14ac:dyDescent="0.25">
      <c r="C1153" s="127"/>
      <c r="D1153" s="128"/>
      <c r="E1153" s="128"/>
      <c r="F1153" s="128"/>
      <c r="G1153" s="128"/>
      <c r="H1153" s="124"/>
      <c r="I1153" s="124"/>
      <c r="K1153" s="86"/>
      <c r="L1153" s="87"/>
      <c r="O1153" s="92"/>
      <c r="Q1153" s="93"/>
      <c r="S1153" s="100"/>
      <c r="T1153" s="91"/>
      <c r="U1153" s="101"/>
      <c r="V1153" s="61"/>
      <c r="W1153" s="61"/>
    </row>
    <row r="1154" spans="3:23" x14ac:dyDescent="0.25">
      <c r="C1154" s="125"/>
      <c r="D1154" s="126"/>
      <c r="E1154" s="126"/>
      <c r="F1154" s="126"/>
      <c r="G1154" s="126"/>
      <c r="H1154" s="124"/>
      <c r="I1154" s="124"/>
      <c r="K1154" s="86"/>
      <c r="L1154" s="87"/>
      <c r="O1154" s="92"/>
      <c r="Q1154" s="93"/>
      <c r="S1154" s="100"/>
      <c r="T1154" s="91"/>
      <c r="U1154" s="101"/>
      <c r="V1154" s="61"/>
      <c r="W1154" s="61"/>
    </row>
    <row r="1155" spans="3:23" x14ac:dyDescent="0.25">
      <c r="C1155" s="127"/>
      <c r="D1155" s="128"/>
      <c r="E1155" s="128"/>
      <c r="F1155" s="128"/>
      <c r="G1155" s="128"/>
      <c r="H1155" s="124"/>
      <c r="I1155" s="124"/>
      <c r="K1155" s="86"/>
      <c r="L1155" s="87"/>
      <c r="O1155" s="92"/>
      <c r="Q1155" s="93"/>
      <c r="S1155" s="100"/>
      <c r="T1155" s="91"/>
      <c r="U1155" s="101"/>
      <c r="V1155" s="61"/>
      <c r="W1155" s="61"/>
    </row>
    <row r="1156" spans="3:23" x14ac:dyDescent="0.25">
      <c r="C1156" s="125"/>
      <c r="D1156" s="126"/>
      <c r="E1156" s="126"/>
      <c r="F1156" s="126"/>
      <c r="G1156" s="126"/>
      <c r="H1156" s="124"/>
      <c r="I1156" s="124"/>
      <c r="K1156" s="86"/>
      <c r="L1156" s="87"/>
      <c r="O1156" s="92"/>
      <c r="Q1156" s="93"/>
      <c r="S1156" s="100"/>
      <c r="T1156" s="91"/>
      <c r="U1156" s="101"/>
      <c r="V1156" s="61"/>
      <c r="W1156" s="61"/>
    </row>
    <row r="1157" spans="3:23" x14ac:dyDescent="0.25">
      <c r="C1157" s="127"/>
      <c r="D1157" s="128"/>
      <c r="E1157" s="128"/>
      <c r="F1157" s="128"/>
      <c r="G1157" s="128"/>
      <c r="H1157" s="124"/>
      <c r="I1157" s="124"/>
      <c r="K1157" s="86"/>
      <c r="L1157" s="87"/>
      <c r="O1157" s="92"/>
      <c r="Q1157" s="93"/>
      <c r="S1157" s="100"/>
      <c r="T1157" s="91"/>
      <c r="U1157" s="101"/>
      <c r="V1157" s="61"/>
      <c r="W1157" s="61"/>
    </row>
    <row r="1158" spans="3:23" x14ac:dyDescent="0.25">
      <c r="C1158" s="125"/>
      <c r="D1158" s="126"/>
      <c r="E1158" s="126"/>
      <c r="F1158" s="126"/>
      <c r="G1158" s="126"/>
      <c r="H1158" s="124"/>
      <c r="I1158" s="124"/>
      <c r="K1158" s="86"/>
      <c r="L1158" s="87"/>
      <c r="O1158" s="92"/>
      <c r="Q1158" s="93"/>
      <c r="S1158" s="100"/>
      <c r="T1158" s="91"/>
      <c r="U1158" s="101"/>
      <c r="V1158" s="61"/>
      <c r="W1158" s="61"/>
    </row>
    <row r="1159" spans="3:23" x14ac:dyDescent="0.25">
      <c r="C1159" s="127"/>
      <c r="D1159" s="128"/>
      <c r="E1159" s="128"/>
      <c r="F1159" s="128"/>
      <c r="G1159" s="128"/>
      <c r="H1159" s="124"/>
      <c r="I1159" s="124"/>
      <c r="K1159" s="86"/>
      <c r="L1159" s="87"/>
      <c r="O1159" s="92"/>
      <c r="Q1159" s="93"/>
      <c r="S1159" s="100"/>
      <c r="T1159" s="91"/>
      <c r="U1159" s="101"/>
      <c r="V1159" s="61"/>
      <c r="W1159" s="61"/>
    </row>
    <row r="1160" spans="3:23" x14ac:dyDescent="0.25">
      <c r="C1160" s="125"/>
      <c r="D1160" s="126"/>
      <c r="E1160" s="126"/>
      <c r="F1160" s="126"/>
      <c r="G1160" s="126"/>
      <c r="H1160" s="124"/>
      <c r="I1160" s="124"/>
      <c r="K1160" s="86"/>
      <c r="L1160" s="87"/>
      <c r="O1160" s="92"/>
      <c r="Q1160" s="93"/>
      <c r="S1160" s="100"/>
      <c r="T1160" s="91"/>
      <c r="U1160" s="101"/>
      <c r="V1160" s="61"/>
      <c r="W1160" s="61"/>
    </row>
    <row r="1161" spans="3:23" x14ac:dyDescent="0.25">
      <c r="C1161" s="127"/>
      <c r="D1161" s="128"/>
      <c r="E1161" s="128"/>
      <c r="F1161" s="128"/>
      <c r="G1161" s="128"/>
      <c r="H1161" s="124"/>
      <c r="I1161" s="124"/>
      <c r="K1161" s="86"/>
      <c r="L1161" s="87"/>
      <c r="O1161" s="92"/>
      <c r="Q1161" s="93"/>
      <c r="S1161" s="100"/>
      <c r="T1161" s="91"/>
      <c r="U1161" s="101"/>
      <c r="V1161" s="61"/>
      <c r="W1161" s="61"/>
    </row>
    <row r="1162" spans="3:23" x14ac:dyDescent="0.25">
      <c r="C1162" s="125"/>
      <c r="D1162" s="126"/>
      <c r="E1162" s="126"/>
      <c r="F1162" s="126"/>
      <c r="G1162" s="126"/>
      <c r="H1162" s="124"/>
      <c r="I1162" s="124"/>
      <c r="K1162" s="86"/>
      <c r="L1162" s="87"/>
      <c r="O1162" s="92"/>
      <c r="Q1162" s="93"/>
      <c r="S1162" s="100"/>
      <c r="T1162" s="91"/>
      <c r="U1162" s="101"/>
      <c r="V1162" s="61"/>
      <c r="W1162" s="61"/>
    </row>
    <row r="1163" spans="3:23" x14ac:dyDescent="0.25">
      <c r="C1163" s="127"/>
      <c r="D1163" s="128"/>
      <c r="E1163" s="128"/>
      <c r="F1163" s="128"/>
      <c r="G1163" s="128"/>
      <c r="H1163" s="124"/>
      <c r="I1163" s="124"/>
      <c r="K1163" s="86"/>
      <c r="L1163" s="87"/>
      <c r="O1163" s="92"/>
      <c r="Q1163" s="93"/>
      <c r="S1163" s="100"/>
      <c r="T1163" s="91"/>
      <c r="U1163" s="101"/>
      <c r="V1163" s="61"/>
      <c r="W1163" s="61"/>
    </row>
    <row r="1164" spans="3:23" x14ac:dyDescent="0.25">
      <c r="C1164" s="125"/>
      <c r="D1164" s="126"/>
      <c r="E1164" s="126"/>
      <c r="F1164" s="126"/>
      <c r="G1164" s="126"/>
      <c r="H1164" s="124"/>
      <c r="I1164" s="124"/>
      <c r="K1164" s="86"/>
      <c r="L1164" s="87"/>
      <c r="O1164" s="92"/>
      <c r="Q1164" s="93"/>
      <c r="S1164" s="100"/>
      <c r="T1164" s="91"/>
      <c r="U1164" s="101"/>
      <c r="V1164" s="61"/>
      <c r="W1164" s="61"/>
    </row>
    <row r="1165" spans="3:23" x14ac:dyDescent="0.25">
      <c r="C1165" s="127"/>
      <c r="D1165" s="128"/>
      <c r="E1165" s="128"/>
      <c r="F1165" s="128"/>
      <c r="G1165" s="128"/>
      <c r="H1165" s="124"/>
      <c r="I1165" s="124"/>
      <c r="K1165" s="86"/>
      <c r="L1165" s="87"/>
      <c r="O1165" s="92"/>
      <c r="Q1165" s="93"/>
      <c r="S1165" s="100"/>
      <c r="T1165" s="91"/>
      <c r="U1165" s="101"/>
      <c r="V1165" s="61"/>
      <c r="W1165" s="61"/>
    </row>
    <row r="1166" spans="3:23" x14ac:dyDescent="0.25">
      <c r="C1166" s="125"/>
      <c r="D1166" s="126"/>
      <c r="E1166" s="126"/>
      <c r="F1166" s="126"/>
      <c r="G1166" s="126"/>
      <c r="H1166" s="124"/>
      <c r="I1166" s="124"/>
      <c r="K1166" s="86"/>
      <c r="L1166" s="87"/>
      <c r="O1166" s="92"/>
      <c r="Q1166" s="93"/>
      <c r="S1166" s="100"/>
      <c r="T1166" s="91"/>
      <c r="U1166" s="101"/>
      <c r="V1166" s="61"/>
      <c r="W1166" s="61"/>
    </row>
    <row r="1167" spans="3:23" x14ac:dyDescent="0.25">
      <c r="C1167" s="127"/>
      <c r="D1167" s="128"/>
      <c r="E1167" s="128"/>
      <c r="F1167" s="128"/>
      <c r="G1167" s="128"/>
      <c r="H1167" s="124"/>
      <c r="I1167" s="124"/>
      <c r="K1167" s="86"/>
      <c r="L1167" s="87"/>
      <c r="O1167" s="92"/>
      <c r="Q1167" s="93"/>
      <c r="S1167" s="100"/>
      <c r="T1167" s="91"/>
      <c r="U1167" s="101"/>
      <c r="V1167" s="61"/>
      <c r="W1167" s="61"/>
    </row>
    <row r="1168" spans="3:23" x14ac:dyDescent="0.25">
      <c r="C1168" s="125"/>
      <c r="D1168" s="126"/>
      <c r="E1168" s="126"/>
      <c r="F1168" s="126"/>
      <c r="G1168" s="126"/>
      <c r="H1168" s="124"/>
      <c r="I1168" s="124"/>
      <c r="K1168" s="86"/>
      <c r="L1168" s="87"/>
      <c r="O1168" s="92"/>
      <c r="Q1168" s="93"/>
      <c r="S1168" s="100"/>
      <c r="T1168" s="91"/>
      <c r="U1168" s="101"/>
      <c r="V1168" s="61"/>
      <c r="W1168" s="61"/>
    </row>
    <row r="1169" spans="3:23" x14ac:dyDescent="0.25">
      <c r="C1169" s="127"/>
      <c r="D1169" s="128"/>
      <c r="E1169" s="128"/>
      <c r="F1169" s="128"/>
      <c r="G1169" s="128"/>
      <c r="H1169" s="124"/>
      <c r="I1169" s="124"/>
      <c r="K1169" s="86"/>
      <c r="L1169" s="87"/>
      <c r="O1169" s="92"/>
      <c r="Q1169" s="93"/>
      <c r="S1169" s="100"/>
      <c r="T1169" s="91"/>
      <c r="U1169" s="101"/>
      <c r="V1169" s="61"/>
      <c r="W1169" s="61"/>
    </row>
    <row r="1170" spans="3:23" x14ac:dyDescent="0.25">
      <c r="C1170" s="125"/>
      <c r="D1170" s="126"/>
      <c r="E1170" s="126"/>
      <c r="F1170" s="126"/>
      <c r="G1170" s="126"/>
      <c r="H1170" s="124"/>
      <c r="I1170" s="124"/>
      <c r="K1170" s="86"/>
      <c r="L1170" s="87"/>
      <c r="O1170" s="92"/>
      <c r="Q1170" s="93"/>
      <c r="S1170" s="100"/>
      <c r="T1170" s="91"/>
      <c r="U1170" s="101"/>
      <c r="V1170" s="61"/>
      <c r="W1170" s="61"/>
    </row>
    <row r="1171" spans="3:23" x14ac:dyDescent="0.25">
      <c r="C1171" s="127"/>
      <c r="D1171" s="128"/>
      <c r="E1171" s="128"/>
      <c r="F1171" s="128"/>
      <c r="G1171" s="128"/>
      <c r="H1171" s="124"/>
      <c r="I1171" s="124"/>
      <c r="K1171" s="86"/>
      <c r="L1171" s="87"/>
      <c r="O1171" s="92"/>
      <c r="Q1171" s="93"/>
      <c r="S1171" s="100"/>
      <c r="T1171" s="91"/>
      <c r="U1171" s="101"/>
      <c r="V1171" s="61"/>
      <c r="W1171" s="61"/>
    </row>
    <row r="1172" spans="3:23" x14ac:dyDescent="0.25">
      <c r="C1172" s="125"/>
      <c r="D1172" s="126"/>
      <c r="E1172" s="126"/>
      <c r="F1172" s="126"/>
      <c r="G1172" s="126"/>
      <c r="H1172" s="124"/>
      <c r="I1172" s="124"/>
      <c r="K1172" s="86"/>
      <c r="L1172" s="87"/>
      <c r="O1172" s="92"/>
      <c r="Q1172" s="93"/>
      <c r="S1172" s="100"/>
      <c r="T1172" s="91"/>
      <c r="U1172" s="101"/>
      <c r="V1172" s="61"/>
      <c r="W1172" s="61"/>
    </row>
    <row r="1173" spans="3:23" x14ac:dyDescent="0.25">
      <c r="C1173" s="127"/>
      <c r="D1173" s="128"/>
      <c r="E1173" s="128"/>
      <c r="F1173" s="128"/>
      <c r="G1173" s="128"/>
      <c r="H1173" s="124"/>
      <c r="I1173" s="124"/>
      <c r="K1173" s="86"/>
      <c r="L1173" s="87"/>
      <c r="O1173" s="92"/>
      <c r="Q1173" s="93"/>
      <c r="S1173" s="100"/>
      <c r="T1173" s="91"/>
      <c r="U1173" s="101"/>
      <c r="V1173" s="61"/>
      <c r="W1173" s="61"/>
    </row>
    <row r="1174" spans="3:23" x14ac:dyDescent="0.25">
      <c r="C1174" s="125"/>
      <c r="D1174" s="126"/>
      <c r="E1174" s="126"/>
      <c r="F1174" s="126"/>
      <c r="G1174" s="126"/>
      <c r="H1174" s="124"/>
      <c r="I1174" s="124"/>
      <c r="K1174" s="86"/>
      <c r="L1174" s="87"/>
      <c r="O1174" s="92"/>
      <c r="Q1174" s="93"/>
      <c r="S1174" s="100"/>
      <c r="T1174" s="91"/>
      <c r="U1174" s="101"/>
      <c r="V1174" s="61"/>
      <c r="W1174" s="61"/>
    </row>
    <row r="1175" spans="3:23" x14ac:dyDescent="0.25">
      <c r="C1175" s="127"/>
      <c r="D1175" s="128"/>
      <c r="E1175" s="128"/>
      <c r="F1175" s="128"/>
      <c r="G1175" s="128"/>
      <c r="H1175" s="124"/>
      <c r="I1175" s="124"/>
      <c r="K1175" s="86"/>
      <c r="L1175" s="87"/>
      <c r="O1175" s="92"/>
      <c r="Q1175" s="93"/>
      <c r="S1175" s="100"/>
      <c r="T1175" s="91"/>
      <c r="U1175" s="101"/>
      <c r="V1175" s="61"/>
      <c r="W1175" s="61"/>
    </row>
    <row r="1176" spans="3:23" x14ac:dyDescent="0.25">
      <c r="C1176" s="125"/>
      <c r="D1176" s="126"/>
      <c r="E1176" s="126"/>
      <c r="F1176" s="126"/>
      <c r="G1176" s="126"/>
      <c r="H1176" s="124"/>
      <c r="I1176" s="124"/>
      <c r="K1176" s="86"/>
      <c r="L1176" s="87"/>
      <c r="O1176" s="92"/>
      <c r="Q1176" s="93"/>
      <c r="S1176" s="100"/>
      <c r="T1176" s="91"/>
      <c r="U1176" s="101"/>
      <c r="V1176" s="61"/>
      <c r="W1176" s="61"/>
    </row>
    <row r="1177" spans="3:23" x14ac:dyDescent="0.25">
      <c r="C1177" s="127"/>
      <c r="D1177" s="128"/>
      <c r="E1177" s="128"/>
      <c r="F1177" s="128"/>
      <c r="G1177" s="128"/>
      <c r="H1177" s="124"/>
      <c r="I1177" s="124"/>
      <c r="K1177" s="86"/>
      <c r="L1177" s="87"/>
      <c r="O1177" s="92"/>
      <c r="Q1177" s="93"/>
      <c r="S1177" s="100"/>
      <c r="T1177" s="91"/>
      <c r="U1177" s="101"/>
      <c r="V1177" s="61"/>
      <c r="W1177" s="61"/>
    </row>
    <row r="1178" spans="3:23" x14ac:dyDescent="0.25">
      <c r="C1178" s="125"/>
      <c r="D1178" s="126"/>
      <c r="E1178" s="126"/>
      <c r="F1178" s="126"/>
      <c r="G1178" s="126"/>
      <c r="H1178" s="124"/>
      <c r="I1178" s="124"/>
      <c r="K1178" s="86"/>
      <c r="L1178" s="87"/>
      <c r="O1178" s="92"/>
      <c r="Q1178" s="93"/>
      <c r="S1178" s="100"/>
      <c r="T1178" s="91"/>
      <c r="U1178" s="101"/>
      <c r="V1178" s="61"/>
      <c r="W1178" s="61"/>
    </row>
    <row r="1179" spans="3:23" x14ac:dyDescent="0.25">
      <c r="C1179" s="127"/>
      <c r="D1179" s="128"/>
      <c r="E1179" s="128"/>
      <c r="F1179" s="128"/>
      <c r="G1179" s="128"/>
      <c r="H1179" s="124"/>
      <c r="I1179" s="124"/>
      <c r="K1179" s="86"/>
      <c r="L1179" s="87"/>
      <c r="O1179" s="92"/>
      <c r="Q1179" s="93"/>
      <c r="S1179" s="100"/>
      <c r="T1179" s="91"/>
      <c r="U1179" s="101"/>
      <c r="V1179" s="61"/>
      <c r="W1179" s="61"/>
    </row>
    <row r="1180" spans="3:23" x14ac:dyDescent="0.25">
      <c r="C1180" s="125"/>
      <c r="D1180" s="126"/>
      <c r="E1180" s="126"/>
      <c r="F1180" s="126"/>
      <c r="G1180" s="126"/>
      <c r="H1180" s="124"/>
      <c r="I1180" s="124"/>
      <c r="K1180" s="86"/>
      <c r="L1180" s="87"/>
      <c r="O1180" s="92"/>
      <c r="Q1180" s="93"/>
      <c r="S1180" s="100"/>
      <c r="T1180" s="91"/>
      <c r="U1180" s="101"/>
      <c r="V1180" s="61"/>
      <c r="W1180" s="61"/>
    </row>
    <row r="1181" spans="3:23" x14ac:dyDescent="0.25">
      <c r="C1181" s="127"/>
      <c r="D1181" s="128"/>
      <c r="E1181" s="128"/>
      <c r="F1181" s="128"/>
      <c r="G1181" s="128"/>
      <c r="H1181" s="124"/>
      <c r="I1181" s="124"/>
      <c r="K1181" s="86"/>
      <c r="L1181" s="87"/>
      <c r="O1181" s="92"/>
      <c r="Q1181" s="93"/>
      <c r="S1181" s="100"/>
      <c r="T1181" s="91"/>
      <c r="U1181" s="101"/>
      <c r="V1181" s="61"/>
      <c r="W1181" s="61"/>
    </row>
    <row r="1182" spans="3:23" x14ac:dyDescent="0.25">
      <c r="C1182" s="125"/>
      <c r="D1182" s="126"/>
      <c r="E1182" s="126"/>
      <c r="F1182" s="126"/>
      <c r="G1182" s="126"/>
      <c r="H1182" s="124"/>
      <c r="I1182" s="124"/>
      <c r="K1182" s="86"/>
      <c r="L1182" s="87"/>
      <c r="O1182" s="92"/>
      <c r="Q1182" s="93"/>
      <c r="S1182" s="100"/>
      <c r="T1182" s="91"/>
      <c r="U1182" s="101"/>
      <c r="V1182" s="61"/>
      <c r="W1182" s="61"/>
    </row>
    <row r="1183" spans="3:23" x14ac:dyDescent="0.25">
      <c r="C1183" s="127"/>
      <c r="D1183" s="128"/>
      <c r="E1183" s="128"/>
      <c r="F1183" s="128"/>
      <c r="G1183" s="128"/>
      <c r="H1183" s="124"/>
      <c r="I1183" s="124"/>
      <c r="K1183" s="86"/>
      <c r="L1183" s="87"/>
      <c r="O1183" s="92"/>
      <c r="Q1183" s="93"/>
      <c r="S1183" s="100"/>
      <c r="T1183" s="91"/>
      <c r="U1183" s="101"/>
      <c r="V1183" s="61"/>
      <c r="W1183" s="61"/>
    </row>
    <row r="1184" spans="3:23" x14ac:dyDescent="0.25">
      <c r="C1184" s="125"/>
      <c r="D1184" s="126"/>
      <c r="E1184" s="126"/>
      <c r="F1184" s="126"/>
      <c r="G1184" s="126"/>
      <c r="H1184" s="124"/>
      <c r="I1184" s="124"/>
      <c r="K1184" s="86"/>
      <c r="L1184" s="87"/>
      <c r="O1184" s="92"/>
      <c r="Q1184" s="93"/>
      <c r="S1184" s="100"/>
      <c r="T1184" s="91"/>
      <c r="U1184" s="101"/>
      <c r="V1184" s="61"/>
      <c r="W1184" s="61"/>
    </row>
    <row r="1185" spans="3:23" x14ac:dyDescent="0.25">
      <c r="C1185" s="127"/>
      <c r="D1185" s="128"/>
      <c r="E1185" s="128"/>
      <c r="F1185" s="128"/>
      <c r="G1185" s="128"/>
      <c r="H1185" s="124"/>
      <c r="I1185" s="124"/>
      <c r="K1185" s="86"/>
      <c r="L1185" s="87"/>
      <c r="O1185" s="92"/>
      <c r="Q1185" s="93"/>
      <c r="S1185" s="100"/>
      <c r="T1185" s="91"/>
      <c r="U1185" s="101"/>
      <c r="V1185" s="61"/>
      <c r="W1185" s="61"/>
    </row>
    <row r="1186" spans="3:23" x14ac:dyDescent="0.25">
      <c r="C1186" s="125"/>
      <c r="D1186" s="126"/>
      <c r="E1186" s="126"/>
      <c r="F1186" s="126"/>
      <c r="G1186" s="126"/>
      <c r="H1186" s="124"/>
      <c r="I1186" s="124"/>
      <c r="K1186" s="86"/>
      <c r="L1186" s="87"/>
      <c r="O1186" s="92"/>
      <c r="Q1186" s="93"/>
      <c r="S1186" s="100"/>
      <c r="T1186" s="91"/>
      <c r="U1186" s="101"/>
      <c r="V1186" s="61"/>
      <c r="W1186" s="61"/>
    </row>
    <row r="1187" spans="3:23" x14ac:dyDescent="0.25">
      <c r="C1187" s="127"/>
      <c r="D1187" s="128"/>
      <c r="E1187" s="128"/>
      <c r="F1187" s="128"/>
      <c r="G1187" s="128"/>
      <c r="H1187" s="124"/>
      <c r="I1187" s="124"/>
      <c r="K1187" s="86"/>
      <c r="L1187" s="87"/>
      <c r="O1187" s="92"/>
      <c r="Q1187" s="93"/>
      <c r="S1187" s="100"/>
      <c r="T1187" s="91"/>
      <c r="U1187" s="101"/>
      <c r="V1187" s="61"/>
      <c r="W1187" s="61"/>
    </row>
    <row r="1188" spans="3:23" x14ac:dyDescent="0.25">
      <c r="C1188" s="125"/>
      <c r="D1188" s="126"/>
      <c r="E1188" s="126"/>
      <c r="F1188" s="126"/>
      <c r="G1188" s="126"/>
      <c r="H1188" s="124"/>
      <c r="I1188" s="124"/>
      <c r="K1188" s="86"/>
      <c r="L1188" s="87"/>
      <c r="O1188" s="92"/>
      <c r="Q1188" s="93"/>
      <c r="S1188" s="100"/>
      <c r="T1188" s="91"/>
      <c r="U1188" s="101"/>
      <c r="V1188" s="61"/>
      <c r="W1188" s="61"/>
    </row>
    <row r="1189" spans="3:23" x14ac:dyDescent="0.25">
      <c r="C1189" s="127"/>
      <c r="D1189" s="128"/>
      <c r="E1189" s="128"/>
      <c r="F1189" s="128"/>
      <c r="G1189" s="128"/>
      <c r="H1189" s="124"/>
      <c r="I1189" s="124"/>
      <c r="K1189" s="86"/>
      <c r="L1189" s="87"/>
      <c r="O1189" s="92"/>
      <c r="Q1189" s="93"/>
      <c r="S1189" s="100"/>
      <c r="T1189" s="91"/>
      <c r="U1189" s="101"/>
      <c r="V1189" s="61"/>
      <c r="W1189" s="61"/>
    </row>
    <row r="1190" spans="3:23" x14ac:dyDescent="0.25">
      <c r="C1190" s="125"/>
      <c r="D1190" s="126"/>
      <c r="E1190" s="126"/>
      <c r="F1190" s="126"/>
      <c r="G1190" s="126"/>
      <c r="H1190" s="124"/>
      <c r="I1190" s="124"/>
      <c r="K1190" s="86"/>
      <c r="L1190" s="87"/>
      <c r="O1190" s="92"/>
      <c r="Q1190" s="93"/>
      <c r="S1190" s="100"/>
      <c r="T1190" s="91"/>
      <c r="U1190" s="101"/>
      <c r="V1190" s="61"/>
      <c r="W1190" s="61"/>
    </row>
    <row r="1191" spans="3:23" x14ac:dyDescent="0.25">
      <c r="C1191" s="127"/>
      <c r="D1191" s="128"/>
      <c r="E1191" s="128"/>
      <c r="F1191" s="128"/>
      <c r="G1191" s="128"/>
      <c r="H1191" s="124"/>
      <c r="I1191" s="124"/>
      <c r="K1191" s="86"/>
      <c r="L1191" s="87"/>
      <c r="O1191" s="92"/>
      <c r="Q1191" s="93"/>
      <c r="S1191" s="100"/>
      <c r="T1191" s="91"/>
      <c r="U1191" s="101"/>
      <c r="V1191" s="61"/>
      <c r="W1191" s="61"/>
    </row>
    <row r="1192" spans="3:23" x14ac:dyDescent="0.25">
      <c r="C1192" s="125"/>
      <c r="D1192" s="126"/>
      <c r="E1192" s="126"/>
      <c r="F1192" s="126"/>
      <c r="G1192" s="126"/>
      <c r="H1192" s="124"/>
      <c r="I1192" s="124"/>
      <c r="K1192" s="86"/>
      <c r="L1192" s="87"/>
      <c r="O1192" s="92"/>
      <c r="Q1192" s="93"/>
      <c r="S1192" s="100"/>
      <c r="T1192" s="91"/>
      <c r="U1192" s="101"/>
      <c r="V1192" s="61"/>
      <c r="W1192" s="61"/>
    </row>
    <row r="1193" spans="3:23" x14ac:dyDescent="0.25">
      <c r="C1193" s="127"/>
      <c r="D1193" s="128"/>
      <c r="E1193" s="128"/>
      <c r="F1193" s="128"/>
      <c r="G1193" s="128"/>
      <c r="H1193" s="124"/>
      <c r="I1193" s="124"/>
      <c r="K1193" s="86"/>
      <c r="L1193" s="87"/>
      <c r="O1193" s="92"/>
      <c r="Q1193" s="93"/>
      <c r="S1193" s="100"/>
      <c r="T1193" s="91"/>
      <c r="U1193" s="101"/>
      <c r="V1193" s="61"/>
      <c r="W1193" s="61"/>
    </row>
    <row r="1194" spans="3:23" x14ac:dyDescent="0.25">
      <c r="C1194" s="125"/>
      <c r="D1194" s="126"/>
      <c r="E1194" s="126"/>
      <c r="F1194" s="126"/>
      <c r="G1194" s="126"/>
      <c r="H1194" s="124"/>
      <c r="I1194" s="124"/>
      <c r="K1194" s="86"/>
      <c r="L1194" s="87"/>
      <c r="O1194" s="92"/>
      <c r="Q1194" s="93"/>
      <c r="S1194" s="100"/>
      <c r="T1194" s="91"/>
      <c r="U1194" s="101"/>
      <c r="V1194" s="61"/>
      <c r="W1194" s="61"/>
    </row>
    <row r="1195" spans="3:23" x14ac:dyDescent="0.25">
      <c r="C1195" s="127"/>
      <c r="D1195" s="128"/>
      <c r="E1195" s="128"/>
      <c r="F1195" s="128"/>
      <c r="G1195" s="128"/>
      <c r="H1195" s="124"/>
      <c r="I1195" s="124"/>
      <c r="K1195" s="86"/>
      <c r="L1195" s="87"/>
      <c r="O1195" s="92"/>
      <c r="Q1195" s="93"/>
      <c r="S1195" s="100"/>
      <c r="T1195" s="91"/>
      <c r="U1195" s="101"/>
      <c r="V1195" s="61"/>
      <c r="W1195" s="61"/>
    </row>
    <row r="1196" spans="3:23" x14ac:dyDescent="0.25">
      <c r="C1196" s="125"/>
      <c r="D1196" s="126"/>
      <c r="E1196" s="126"/>
      <c r="F1196" s="126"/>
      <c r="G1196" s="126"/>
      <c r="H1196" s="124"/>
      <c r="I1196" s="124"/>
      <c r="K1196" s="86"/>
      <c r="L1196" s="87"/>
      <c r="O1196" s="92"/>
      <c r="Q1196" s="93"/>
      <c r="S1196" s="100"/>
      <c r="T1196" s="91"/>
      <c r="U1196" s="101"/>
      <c r="V1196" s="61"/>
      <c r="W1196" s="61"/>
    </row>
    <row r="1197" spans="3:23" x14ac:dyDescent="0.25">
      <c r="C1197" s="127"/>
      <c r="D1197" s="128"/>
      <c r="E1197" s="128"/>
      <c r="F1197" s="128"/>
      <c r="G1197" s="128"/>
      <c r="H1197" s="124"/>
      <c r="I1197" s="124"/>
      <c r="K1197" s="86"/>
      <c r="L1197" s="87"/>
      <c r="O1197" s="92"/>
      <c r="Q1197" s="93"/>
      <c r="S1197" s="100"/>
      <c r="T1197" s="91"/>
      <c r="U1197" s="101"/>
      <c r="V1197" s="61"/>
      <c r="W1197" s="61"/>
    </row>
    <row r="1198" spans="3:23" x14ac:dyDescent="0.25">
      <c r="C1198" s="125"/>
      <c r="D1198" s="126"/>
      <c r="E1198" s="126"/>
      <c r="F1198" s="126"/>
      <c r="G1198" s="126"/>
      <c r="H1198" s="124"/>
      <c r="I1198" s="124"/>
      <c r="K1198" s="86"/>
      <c r="L1198" s="87"/>
      <c r="O1198" s="92"/>
      <c r="Q1198" s="93"/>
      <c r="S1198" s="100"/>
      <c r="T1198" s="91"/>
      <c r="U1198" s="101"/>
      <c r="V1198" s="61"/>
      <c r="W1198" s="61"/>
    </row>
    <row r="1199" spans="3:23" x14ac:dyDescent="0.25">
      <c r="C1199" s="127"/>
      <c r="D1199" s="128"/>
      <c r="E1199" s="128"/>
      <c r="F1199" s="128"/>
      <c r="G1199" s="128"/>
      <c r="H1199" s="124"/>
      <c r="I1199" s="124"/>
      <c r="K1199" s="86"/>
      <c r="L1199" s="87"/>
      <c r="O1199" s="92"/>
      <c r="Q1199" s="93"/>
      <c r="S1199" s="100"/>
      <c r="T1199" s="91"/>
      <c r="U1199" s="101"/>
      <c r="V1199" s="61"/>
      <c r="W1199" s="61"/>
    </row>
    <row r="1200" spans="3:23" x14ac:dyDescent="0.25">
      <c r="C1200" s="125"/>
      <c r="D1200" s="126"/>
      <c r="E1200" s="126"/>
      <c r="F1200" s="126"/>
      <c r="G1200" s="126"/>
      <c r="H1200" s="124"/>
      <c r="I1200" s="124"/>
      <c r="K1200" s="86"/>
      <c r="L1200" s="87"/>
      <c r="O1200" s="92"/>
      <c r="Q1200" s="93"/>
      <c r="S1200" s="100"/>
      <c r="T1200" s="91"/>
      <c r="U1200" s="101"/>
      <c r="V1200" s="61"/>
      <c r="W1200" s="61"/>
    </row>
    <row r="1201" spans="3:23" x14ac:dyDescent="0.25">
      <c r="C1201" s="127"/>
      <c r="D1201" s="128"/>
      <c r="E1201" s="128"/>
      <c r="F1201" s="128"/>
      <c r="G1201" s="128"/>
      <c r="H1201" s="124"/>
      <c r="I1201" s="124"/>
      <c r="K1201" s="86"/>
      <c r="L1201" s="87"/>
      <c r="O1201" s="92"/>
      <c r="Q1201" s="93"/>
      <c r="S1201" s="100"/>
      <c r="T1201" s="91"/>
      <c r="U1201" s="101"/>
      <c r="V1201" s="61"/>
      <c r="W1201" s="61"/>
    </row>
    <row r="1202" spans="3:23" x14ac:dyDescent="0.25">
      <c r="C1202" s="125"/>
      <c r="D1202" s="126"/>
      <c r="E1202" s="126"/>
      <c r="F1202" s="126"/>
      <c r="G1202" s="126"/>
      <c r="H1202" s="124"/>
      <c r="I1202" s="124"/>
      <c r="K1202" s="86"/>
      <c r="L1202" s="87"/>
      <c r="O1202" s="92"/>
      <c r="Q1202" s="93"/>
      <c r="S1202" s="100"/>
      <c r="T1202" s="91"/>
      <c r="U1202" s="101"/>
      <c r="V1202" s="61"/>
      <c r="W1202" s="61"/>
    </row>
    <row r="1203" spans="3:23" x14ac:dyDescent="0.25">
      <c r="C1203" s="127"/>
      <c r="D1203" s="128"/>
      <c r="E1203" s="128"/>
      <c r="F1203" s="128"/>
      <c r="G1203" s="128"/>
      <c r="H1203" s="124"/>
      <c r="I1203" s="124"/>
      <c r="K1203" s="86"/>
      <c r="L1203" s="87"/>
      <c r="O1203" s="92"/>
      <c r="Q1203" s="93"/>
      <c r="S1203" s="100"/>
      <c r="T1203" s="91"/>
      <c r="U1203" s="101"/>
      <c r="V1203" s="61"/>
      <c r="W1203" s="61"/>
    </row>
    <row r="1204" spans="3:23" x14ac:dyDescent="0.25">
      <c r="C1204" s="125"/>
      <c r="D1204" s="126"/>
      <c r="E1204" s="126"/>
      <c r="F1204" s="126"/>
      <c r="G1204" s="126"/>
      <c r="H1204" s="124"/>
      <c r="I1204" s="124"/>
      <c r="K1204" s="86"/>
      <c r="L1204" s="87"/>
      <c r="O1204" s="92"/>
      <c r="Q1204" s="93"/>
      <c r="S1204" s="100"/>
      <c r="T1204" s="91"/>
      <c r="U1204" s="101"/>
      <c r="V1204" s="61"/>
      <c r="W1204" s="61"/>
    </row>
    <row r="1205" spans="3:23" x14ac:dyDescent="0.25">
      <c r="C1205" s="127"/>
      <c r="D1205" s="128"/>
      <c r="E1205" s="128"/>
      <c r="F1205" s="128"/>
      <c r="G1205" s="128"/>
      <c r="H1205" s="124"/>
      <c r="I1205" s="124"/>
      <c r="K1205" s="86"/>
      <c r="L1205" s="87"/>
      <c r="O1205" s="92"/>
      <c r="Q1205" s="93"/>
      <c r="S1205" s="100"/>
      <c r="T1205" s="91"/>
      <c r="U1205" s="101"/>
      <c r="V1205" s="61"/>
      <c r="W1205" s="61"/>
    </row>
    <row r="1206" spans="3:23" x14ac:dyDescent="0.25">
      <c r="C1206" s="125"/>
      <c r="D1206" s="126"/>
      <c r="E1206" s="126"/>
      <c r="F1206" s="126"/>
      <c r="G1206" s="126"/>
      <c r="H1206" s="124"/>
      <c r="I1206" s="124"/>
      <c r="K1206" s="86"/>
      <c r="L1206" s="87"/>
      <c r="O1206" s="92"/>
      <c r="Q1206" s="93"/>
      <c r="S1206" s="100"/>
      <c r="T1206" s="91"/>
      <c r="U1206" s="101"/>
      <c r="V1206" s="61"/>
      <c r="W1206" s="61"/>
    </row>
    <row r="1207" spans="3:23" x14ac:dyDescent="0.25">
      <c r="C1207" s="127"/>
      <c r="D1207" s="128"/>
      <c r="E1207" s="128"/>
      <c r="F1207" s="128"/>
      <c r="G1207" s="128"/>
      <c r="H1207" s="124"/>
      <c r="I1207" s="124"/>
      <c r="K1207" s="86"/>
      <c r="L1207" s="87"/>
      <c r="O1207" s="92"/>
      <c r="Q1207" s="93"/>
      <c r="S1207" s="100"/>
      <c r="T1207" s="91"/>
      <c r="U1207" s="101"/>
      <c r="V1207" s="61"/>
      <c r="W1207" s="61"/>
    </row>
    <row r="1208" spans="3:23" x14ac:dyDescent="0.25">
      <c r="C1208" s="125"/>
      <c r="D1208" s="126"/>
      <c r="E1208" s="126"/>
      <c r="F1208" s="126"/>
      <c r="G1208" s="126"/>
      <c r="H1208" s="124"/>
      <c r="I1208" s="124"/>
      <c r="K1208" s="86"/>
      <c r="L1208" s="87"/>
      <c r="O1208" s="92"/>
      <c r="Q1208" s="93"/>
      <c r="S1208" s="100"/>
      <c r="T1208" s="91"/>
      <c r="U1208" s="101"/>
      <c r="V1208" s="61"/>
      <c r="W1208" s="61"/>
    </row>
    <row r="1209" spans="3:23" x14ac:dyDescent="0.25">
      <c r="C1209" s="127"/>
      <c r="D1209" s="128"/>
      <c r="E1209" s="128"/>
      <c r="F1209" s="128"/>
      <c r="G1209" s="128"/>
      <c r="H1209" s="124"/>
      <c r="I1209" s="124"/>
      <c r="K1209" s="86"/>
      <c r="L1209" s="87"/>
      <c r="O1209" s="92"/>
      <c r="Q1209" s="93"/>
      <c r="S1209" s="100"/>
      <c r="T1209" s="91"/>
      <c r="U1209" s="101"/>
      <c r="V1209" s="61"/>
      <c r="W1209" s="61"/>
    </row>
    <row r="1210" spans="3:23" x14ac:dyDescent="0.25">
      <c r="C1210" s="125"/>
      <c r="D1210" s="126"/>
      <c r="E1210" s="126"/>
      <c r="F1210" s="126"/>
      <c r="G1210" s="126"/>
      <c r="H1210" s="124"/>
      <c r="I1210" s="124"/>
      <c r="K1210" s="86"/>
      <c r="L1210" s="87"/>
      <c r="O1210" s="92"/>
      <c r="Q1210" s="93"/>
      <c r="S1210" s="100"/>
      <c r="T1210" s="91"/>
      <c r="U1210" s="101"/>
      <c r="V1210" s="61"/>
      <c r="W1210" s="61"/>
    </row>
    <row r="1211" spans="3:23" x14ac:dyDescent="0.25">
      <c r="C1211" s="127"/>
      <c r="D1211" s="128"/>
      <c r="E1211" s="128"/>
      <c r="F1211" s="128"/>
      <c r="G1211" s="128"/>
      <c r="H1211" s="124"/>
      <c r="I1211" s="124"/>
      <c r="K1211" s="86"/>
      <c r="L1211" s="87"/>
      <c r="O1211" s="92"/>
      <c r="Q1211" s="93"/>
      <c r="S1211" s="100"/>
      <c r="T1211" s="91"/>
      <c r="U1211" s="101"/>
      <c r="V1211" s="61"/>
      <c r="W1211" s="61"/>
    </row>
    <row r="1212" spans="3:23" x14ac:dyDescent="0.25">
      <c r="C1212" s="125"/>
      <c r="D1212" s="126"/>
      <c r="E1212" s="126"/>
      <c r="F1212" s="126"/>
      <c r="G1212" s="126"/>
      <c r="H1212" s="124"/>
      <c r="I1212" s="124"/>
      <c r="K1212" s="86"/>
      <c r="L1212" s="87"/>
      <c r="O1212" s="92"/>
      <c r="Q1212" s="93"/>
      <c r="S1212" s="100"/>
      <c r="T1212" s="91"/>
      <c r="U1212" s="101"/>
      <c r="V1212" s="61"/>
      <c r="W1212" s="61"/>
    </row>
    <row r="1213" spans="3:23" x14ac:dyDescent="0.25">
      <c r="C1213" s="127"/>
      <c r="D1213" s="128"/>
      <c r="E1213" s="128"/>
      <c r="F1213" s="128"/>
      <c r="G1213" s="128"/>
      <c r="H1213" s="124"/>
      <c r="I1213" s="124"/>
      <c r="K1213" s="86"/>
      <c r="L1213" s="87"/>
      <c r="O1213" s="92"/>
      <c r="Q1213" s="93"/>
      <c r="S1213" s="100"/>
      <c r="T1213" s="91"/>
      <c r="U1213" s="101"/>
      <c r="V1213" s="61"/>
      <c r="W1213" s="61"/>
    </row>
    <row r="1214" spans="3:23" x14ac:dyDescent="0.25">
      <c r="C1214" s="125"/>
      <c r="D1214" s="126"/>
      <c r="E1214" s="126"/>
      <c r="F1214" s="126"/>
      <c r="G1214" s="126"/>
      <c r="H1214" s="124"/>
      <c r="I1214" s="124"/>
      <c r="K1214" s="86"/>
      <c r="L1214" s="87"/>
      <c r="O1214" s="92"/>
      <c r="Q1214" s="93"/>
      <c r="S1214" s="100"/>
      <c r="T1214" s="91"/>
      <c r="U1214" s="101"/>
      <c r="V1214" s="61"/>
      <c r="W1214" s="61"/>
    </row>
    <row r="1215" spans="3:23" x14ac:dyDescent="0.25">
      <c r="C1215" s="127"/>
      <c r="D1215" s="128"/>
      <c r="E1215" s="128"/>
      <c r="F1215" s="128"/>
      <c r="G1215" s="128"/>
      <c r="H1215" s="124"/>
      <c r="I1215" s="124"/>
      <c r="K1215" s="86"/>
      <c r="L1215" s="87"/>
      <c r="O1215" s="92"/>
      <c r="Q1215" s="93"/>
      <c r="S1215" s="100"/>
      <c r="T1215" s="91"/>
      <c r="U1215" s="101"/>
      <c r="V1215" s="61"/>
      <c r="W1215" s="61"/>
    </row>
    <row r="1216" spans="3:23" x14ac:dyDescent="0.25">
      <c r="C1216" s="125"/>
      <c r="D1216" s="126"/>
      <c r="E1216" s="126"/>
      <c r="F1216" s="126"/>
      <c r="G1216" s="126"/>
      <c r="H1216" s="124"/>
      <c r="I1216" s="124"/>
      <c r="K1216" s="86"/>
      <c r="L1216" s="87"/>
      <c r="O1216" s="92"/>
      <c r="Q1216" s="93"/>
      <c r="S1216" s="100"/>
      <c r="T1216" s="91"/>
      <c r="U1216" s="101"/>
      <c r="V1216" s="61"/>
      <c r="W1216" s="61"/>
    </row>
    <row r="1217" spans="3:23" x14ac:dyDescent="0.25">
      <c r="C1217" s="127"/>
      <c r="D1217" s="128"/>
      <c r="E1217" s="128"/>
      <c r="F1217" s="128"/>
      <c r="G1217" s="128"/>
      <c r="H1217" s="124"/>
      <c r="I1217" s="124"/>
      <c r="K1217" s="86"/>
      <c r="L1217" s="87"/>
      <c r="O1217" s="92"/>
      <c r="Q1217" s="93"/>
      <c r="S1217" s="100"/>
      <c r="T1217" s="91"/>
      <c r="U1217" s="101"/>
      <c r="V1217" s="61"/>
      <c r="W1217" s="61"/>
    </row>
    <row r="1218" spans="3:23" x14ac:dyDescent="0.25">
      <c r="C1218" s="125"/>
      <c r="D1218" s="126"/>
      <c r="E1218" s="126"/>
      <c r="F1218" s="126"/>
      <c r="G1218" s="126"/>
      <c r="H1218" s="124"/>
      <c r="I1218" s="124"/>
      <c r="K1218" s="86"/>
      <c r="L1218" s="87"/>
      <c r="O1218" s="92"/>
      <c r="Q1218" s="93"/>
      <c r="S1218" s="100"/>
      <c r="T1218" s="91"/>
      <c r="U1218" s="101"/>
      <c r="V1218" s="61"/>
      <c r="W1218" s="61"/>
    </row>
    <row r="1219" spans="3:23" x14ac:dyDescent="0.25">
      <c r="C1219" s="127"/>
      <c r="D1219" s="128"/>
      <c r="E1219" s="128"/>
      <c r="F1219" s="128"/>
      <c r="G1219" s="128"/>
      <c r="H1219" s="124"/>
      <c r="I1219" s="124"/>
      <c r="K1219" s="86"/>
      <c r="L1219" s="87"/>
      <c r="O1219" s="92"/>
      <c r="Q1219" s="93"/>
      <c r="S1219" s="100"/>
      <c r="T1219" s="91"/>
      <c r="U1219" s="101"/>
      <c r="V1219" s="61"/>
      <c r="W1219" s="61"/>
    </row>
    <row r="1220" spans="3:23" x14ac:dyDescent="0.25">
      <c r="C1220" s="125"/>
      <c r="D1220" s="126"/>
      <c r="E1220" s="126"/>
      <c r="F1220" s="126"/>
      <c r="G1220" s="126"/>
      <c r="H1220" s="124"/>
      <c r="I1220" s="124"/>
      <c r="K1220" s="86"/>
      <c r="L1220" s="87"/>
      <c r="O1220" s="92"/>
      <c r="Q1220" s="93"/>
      <c r="S1220" s="100"/>
      <c r="T1220" s="91"/>
      <c r="U1220" s="101"/>
      <c r="V1220" s="61"/>
      <c r="W1220" s="61"/>
    </row>
    <row r="1221" spans="3:23" x14ac:dyDescent="0.25">
      <c r="C1221" s="127"/>
      <c r="D1221" s="128"/>
      <c r="E1221" s="128"/>
      <c r="F1221" s="128"/>
      <c r="G1221" s="128"/>
      <c r="H1221" s="124"/>
      <c r="I1221" s="124"/>
      <c r="K1221" s="86"/>
      <c r="L1221" s="87"/>
      <c r="O1221" s="92"/>
      <c r="Q1221" s="93"/>
      <c r="S1221" s="100"/>
      <c r="T1221" s="91"/>
      <c r="U1221" s="101"/>
      <c r="V1221" s="61"/>
      <c r="W1221" s="61"/>
    </row>
    <row r="1222" spans="3:23" x14ac:dyDescent="0.25">
      <c r="C1222" s="125"/>
      <c r="D1222" s="126"/>
      <c r="E1222" s="126"/>
      <c r="F1222" s="126"/>
      <c r="G1222" s="126"/>
      <c r="H1222" s="124"/>
      <c r="I1222" s="124"/>
      <c r="K1222" s="86"/>
      <c r="L1222" s="87"/>
      <c r="O1222" s="92"/>
      <c r="Q1222" s="93"/>
      <c r="S1222" s="100"/>
      <c r="T1222" s="91"/>
      <c r="U1222" s="101"/>
      <c r="V1222" s="61"/>
      <c r="W1222" s="61"/>
    </row>
    <row r="1223" spans="3:23" x14ac:dyDescent="0.25">
      <c r="C1223" s="127"/>
      <c r="D1223" s="128"/>
      <c r="E1223" s="128"/>
      <c r="F1223" s="128"/>
      <c r="G1223" s="128"/>
      <c r="H1223" s="124"/>
      <c r="I1223" s="124"/>
      <c r="K1223" s="86"/>
      <c r="L1223" s="87"/>
      <c r="O1223" s="92"/>
      <c r="Q1223" s="93"/>
      <c r="S1223" s="100"/>
      <c r="T1223" s="91"/>
      <c r="U1223" s="101"/>
      <c r="V1223" s="61"/>
      <c r="W1223" s="61"/>
    </row>
    <row r="1224" spans="3:23" x14ac:dyDescent="0.25">
      <c r="C1224" s="125"/>
      <c r="D1224" s="126"/>
      <c r="E1224" s="126"/>
      <c r="F1224" s="126"/>
      <c r="G1224" s="126"/>
      <c r="H1224" s="124"/>
      <c r="I1224" s="124"/>
      <c r="K1224" s="86"/>
      <c r="L1224" s="87"/>
      <c r="O1224" s="92"/>
      <c r="Q1224" s="93"/>
      <c r="S1224" s="100"/>
      <c r="T1224" s="91"/>
      <c r="U1224" s="101"/>
      <c r="V1224" s="61"/>
      <c r="W1224" s="61"/>
    </row>
    <row r="1225" spans="3:23" x14ac:dyDescent="0.25">
      <c r="C1225" s="127"/>
      <c r="D1225" s="128"/>
      <c r="E1225" s="128"/>
      <c r="F1225" s="128"/>
      <c r="G1225" s="128"/>
      <c r="H1225" s="124"/>
      <c r="I1225" s="124"/>
      <c r="K1225" s="86"/>
      <c r="L1225" s="87"/>
      <c r="O1225" s="92"/>
      <c r="Q1225" s="93"/>
      <c r="S1225" s="100"/>
      <c r="T1225" s="91"/>
      <c r="U1225" s="101"/>
      <c r="V1225" s="61"/>
      <c r="W1225" s="61"/>
    </row>
    <row r="1226" spans="3:23" x14ac:dyDescent="0.25">
      <c r="C1226" s="125"/>
      <c r="D1226" s="126"/>
      <c r="E1226" s="126"/>
      <c r="F1226" s="126"/>
      <c r="G1226" s="126"/>
      <c r="H1226" s="124"/>
      <c r="I1226" s="124"/>
      <c r="K1226" s="86"/>
      <c r="L1226" s="87"/>
      <c r="O1226" s="92"/>
      <c r="Q1226" s="93"/>
      <c r="S1226" s="100"/>
      <c r="T1226" s="91"/>
      <c r="U1226" s="101"/>
      <c r="V1226" s="61"/>
      <c r="W1226" s="61"/>
    </row>
    <row r="1227" spans="3:23" x14ac:dyDescent="0.25">
      <c r="C1227" s="127"/>
      <c r="D1227" s="128"/>
      <c r="E1227" s="128"/>
      <c r="F1227" s="128"/>
      <c r="G1227" s="128"/>
      <c r="H1227" s="124"/>
      <c r="I1227" s="124"/>
      <c r="K1227" s="86"/>
      <c r="L1227" s="87"/>
      <c r="O1227" s="92"/>
      <c r="Q1227" s="93"/>
      <c r="S1227" s="100"/>
      <c r="T1227" s="91"/>
      <c r="U1227" s="101"/>
      <c r="V1227" s="61"/>
      <c r="W1227" s="61"/>
    </row>
    <row r="1228" spans="3:23" x14ac:dyDescent="0.25">
      <c r="C1228" s="125"/>
      <c r="D1228" s="126"/>
      <c r="E1228" s="126"/>
      <c r="F1228" s="126"/>
      <c r="G1228" s="126"/>
      <c r="H1228" s="124"/>
      <c r="I1228" s="124"/>
      <c r="K1228" s="86"/>
      <c r="L1228" s="87"/>
      <c r="O1228" s="92"/>
      <c r="Q1228" s="93"/>
      <c r="S1228" s="100"/>
      <c r="T1228" s="91"/>
      <c r="U1228" s="101"/>
      <c r="V1228" s="61"/>
      <c r="W1228" s="61"/>
    </row>
    <row r="1229" spans="3:23" x14ac:dyDescent="0.25">
      <c r="C1229" s="127"/>
      <c r="D1229" s="128"/>
      <c r="E1229" s="128"/>
      <c r="F1229" s="128"/>
      <c r="G1229" s="128"/>
      <c r="H1229" s="124"/>
      <c r="I1229" s="124"/>
      <c r="K1229" s="86"/>
      <c r="L1229" s="87"/>
      <c r="O1229" s="92"/>
      <c r="Q1229" s="93"/>
      <c r="S1229" s="100"/>
      <c r="T1229" s="91"/>
      <c r="U1229" s="101"/>
      <c r="V1229" s="61"/>
      <c r="W1229" s="61"/>
    </row>
    <row r="1230" spans="3:23" x14ac:dyDescent="0.25">
      <c r="C1230" s="125"/>
      <c r="D1230" s="126"/>
      <c r="E1230" s="126"/>
      <c r="F1230" s="126"/>
      <c r="G1230" s="126"/>
      <c r="H1230" s="124"/>
      <c r="I1230" s="124"/>
      <c r="K1230" s="86"/>
      <c r="L1230" s="87"/>
      <c r="O1230" s="92"/>
      <c r="Q1230" s="93"/>
      <c r="S1230" s="100"/>
      <c r="T1230" s="91"/>
      <c r="U1230" s="101"/>
      <c r="V1230" s="61"/>
      <c r="W1230" s="61"/>
    </row>
    <row r="1231" spans="3:23" x14ac:dyDescent="0.25">
      <c r="C1231" s="127"/>
      <c r="D1231" s="128"/>
      <c r="E1231" s="128"/>
      <c r="F1231" s="128"/>
      <c r="G1231" s="128"/>
      <c r="H1231" s="124"/>
      <c r="I1231" s="124"/>
      <c r="K1231" s="86"/>
      <c r="L1231" s="87"/>
      <c r="O1231" s="92"/>
      <c r="Q1231" s="93"/>
      <c r="S1231" s="100"/>
      <c r="T1231" s="91"/>
      <c r="U1231" s="101"/>
      <c r="V1231" s="61"/>
      <c r="W1231" s="61"/>
    </row>
    <row r="1232" spans="3:23" x14ac:dyDescent="0.25">
      <c r="C1232" s="125"/>
      <c r="D1232" s="126"/>
      <c r="E1232" s="126"/>
      <c r="F1232" s="126"/>
      <c r="G1232" s="126"/>
      <c r="H1232" s="124"/>
      <c r="I1232" s="124"/>
      <c r="K1232" s="86"/>
      <c r="L1232" s="87"/>
      <c r="O1232" s="92"/>
      <c r="Q1232" s="93"/>
      <c r="S1232" s="100"/>
      <c r="T1232" s="91"/>
      <c r="U1232" s="101"/>
      <c r="V1232" s="61"/>
      <c r="W1232" s="61"/>
    </row>
    <row r="1233" spans="3:23" x14ac:dyDescent="0.25">
      <c r="C1233" s="127"/>
      <c r="D1233" s="128"/>
      <c r="E1233" s="128"/>
      <c r="F1233" s="128"/>
      <c r="G1233" s="128"/>
      <c r="H1233" s="124"/>
      <c r="I1233" s="124"/>
      <c r="K1233" s="86"/>
      <c r="L1233" s="87"/>
      <c r="O1233" s="92"/>
      <c r="Q1233" s="93"/>
      <c r="S1233" s="100"/>
      <c r="T1233" s="91"/>
      <c r="U1233" s="101"/>
      <c r="V1233" s="61"/>
      <c r="W1233" s="61"/>
    </row>
    <row r="1234" spans="3:23" x14ac:dyDescent="0.25">
      <c r="C1234" s="125"/>
      <c r="D1234" s="126"/>
      <c r="E1234" s="126"/>
      <c r="F1234" s="126"/>
      <c r="G1234" s="126"/>
      <c r="H1234" s="124"/>
      <c r="I1234" s="124"/>
      <c r="K1234" s="86"/>
      <c r="L1234" s="87"/>
      <c r="O1234" s="92"/>
      <c r="Q1234" s="93"/>
      <c r="S1234" s="100"/>
      <c r="T1234" s="91"/>
      <c r="U1234" s="101"/>
      <c r="V1234" s="61"/>
      <c r="W1234" s="61"/>
    </row>
    <row r="1235" spans="3:23" x14ac:dyDescent="0.25">
      <c r="C1235" s="127"/>
      <c r="D1235" s="128"/>
      <c r="E1235" s="128"/>
      <c r="F1235" s="128"/>
      <c r="G1235" s="128"/>
      <c r="H1235" s="124"/>
      <c r="I1235" s="124"/>
      <c r="K1235" s="86"/>
      <c r="L1235" s="87"/>
      <c r="O1235" s="92"/>
      <c r="Q1235" s="93"/>
      <c r="S1235" s="100"/>
      <c r="T1235" s="91"/>
      <c r="U1235" s="101"/>
      <c r="V1235" s="61"/>
      <c r="W1235" s="61"/>
    </row>
    <row r="1236" spans="3:23" x14ac:dyDescent="0.25">
      <c r="C1236" s="125"/>
      <c r="D1236" s="126"/>
      <c r="E1236" s="126"/>
      <c r="F1236" s="126"/>
      <c r="G1236" s="126"/>
      <c r="H1236" s="124"/>
      <c r="I1236" s="124"/>
      <c r="K1236" s="86"/>
      <c r="L1236" s="87"/>
      <c r="O1236" s="92"/>
      <c r="Q1236" s="93"/>
      <c r="S1236" s="100"/>
      <c r="T1236" s="91"/>
      <c r="U1236" s="101"/>
      <c r="V1236" s="61"/>
      <c r="W1236" s="61"/>
    </row>
    <row r="1237" spans="3:23" x14ac:dyDescent="0.25">
      <c r="C1237" s="127"/>
      <c r="D1237" s="128"/>
      <c r="E1237" s="128"/>
      <c r="F1237" s="128"/>
      <c r="G1237" s="128"/>
      <c r="H1237" s="124"/>
      <c r="I1237" s="124"/>
      <c r="K1237" s="86"/>
      <c r="L1237" s="87"/>
      <c r="O1237" s="92"/>
      <c r="Q1237" s="93"/>
      <c r="S1237" s="100"/>
      <c r="T1237" s="91"/>
      <c r="U1237" s="101"/>
      <c r="V1237" s="61"/>
      <c r="W1237" s="61"/>
    </row>
    <row r="1238" spans="3:23" x14ac:dyDescent="0.25">
      <c r="C1238" s="125"/>
      <c r="D1238" s="126"/>
      <c r="E1238" s="126"/>
      <c r="F1238" s="126"/>
      <c r="G1238" s="126"/>
      <c r="H1238" s="124"/>
      <c r="I1238" s="124"/>
      <c r="K1238" s="86"/>
      <c r="L1238" s="87"/>
      <c r="O1238" s="92"/>
      <c r="Q1238" s="93"/>
      <c r="S1238" s="100"/>
      <c r="T1238" s="91"/>
      <c r="U1238" s="101"/>
      <c r="V1238" s="61"/>
      <c r="W1238" s="61"/>
    </row>
    <row r="1239" spans="3:23" x14ac:dyDescent="0.25">
      <c r="C1239" s="127"/>
      <c r="D1239" s="128"/>
      <c r="E1239" s="128"/>
      <c r="F1239" s="128"/>
      <c r="G1239" s="128"/>
      <c r="H1239" s="124"/>
      <c r="I1239" s="124"/>
      <c r="K1239" s="86"/>
      <c r="L1239" s="87"/>
      <c r="O1239" s="92"/>
      <c r="Q1239" s="93"/>
      <c r="S1239" s="100"/>
      <c r="T1239" s="91"/>
      <c r="U1239" s="101"/>
      <c r="V1239" s="61"/>
      <c r="W1239" s="61"/>
    </row>
    <row r="1240" spans="3:23" x14ac:dyDescent="0.25">
      <c r="C1240" s="125"/>
      <c r="D1240" s="126"/>
      <c r="E1240" s="126"/>
      <c r="F1240" s="126"/>
      <c r="G1240" s="126"/>
      <c r="H1240" s="124"/>
      <c r="I1240" s="124"/>
      <c r="K1240" s="86"/>
      <c r="L1240" s="87"/>
      <c r="O1240" s="92"/>
      <c r="Q1240" s="93"/>
      <c r="S1240" s="100"/>
      <c r="T1240" s="91"/>
      <c r="U1240" s="101"/>
      <c r="V1240" s="61"/>
      <c r="W1240" s="61"/>
    </row>
    <row r="1241" spans="3:23" x14ac:dyDescent="0.25">
      <c r="C1241" s="127"/>
      <c r="D1241" s="128"/>
      <c r="E1241" s="128"/>
      <c r="F1241" s="128"/>
      <c r="G1241" s="128"/>
      <c r="H1241" s="124"/>
      <c r="I1241" s="124"/>
      <c r="K1241" s="86"/>
      <c r="L1241" s="87"/>
      <c r="O1241" s="92"/>
      <c r="Q1241" s="93"/>
      <c r="S1241" s="100"/>
      <c r="T1241" s="91"/>
      <c r="U1241" s="101"/>
      <c r="V1241" s="61"/>
      <c r="W1241" s="61"/>
    </row>
    <row r="1242" spans="3:23" x14ac:dyDescent="0.25">
      <c r="C1242" s="125"/>
      <c r="D1242" s="126"/>
      <c r="E1242" s="126"/>
      <c r="F1242" s="126"/>
      <c r="G1242" s="126"/>
      <c r="H1242" s="124"/>
      <c r="I1242" s="124"/>
      <c r="K1242" s="86"/>
      <c r="L1242" s="87"/>
      <c r="O1242" s="92"/>
      <c r="Q1242" s="93"/>
      <c r="S1242" s="100"/>
      <c r="T1242" s="91"/>
      <c r="U1242" s="101"/>
      <c r="V1242" s="61"/>
      <c r="W1242" s="61"/>
    </row>
    <row r="1243" spans="3:23" x14ac:dyDescent="0.25">
      <c r="C1243" s="127"/>
      <c r="D1243" s="128"/>
      <c r="E1243" s="128"/>
      <c r="F1243" s="128"/>
      <c r="G1243" s="128"/>
      <c r="H1243" s="124"/>
      <c r="I1243" s="124"/>
      <c r="K1243" s="86"/>
      <c r="L1243" s="87"/>
      <c r="O1243" s="92"/>
      <c r="Q1243" s="93"/>
      <c r="S1243" s="100"/>
      <c r="T1243" s="91"/>
      <c r="U1243" s="101"/>
      <c r="V1243" s="61"/>
      <c r="W1243" s="61"/>
    </row>
    <row r="1244" spans="3:23" x14ac:dyDescent="0.25">
      <c r="C1244" s="125"/>
      <c r="D1244" s="126"/>
      <c r="E1244" s="126"/>
      <c r="F1244" s="126"/>
      <c r="G1244" s="126"/>
      <c r="H1244" s="124"/>
      <c r="I1244" s="124"/>
      <c r="K1244" s="86"/>
      <c r="L1244" s="87"/>
      <c r="O1244" s="92"/>
      <c r="Q1244" s="93"/>
      <c r="S1244" s="100"/>
      <c r="T1244" s="91"/>
      <c r="U1244" s="101"/>
      <c r="V1244" s="61"/>
      <c r="W1244" s="61"/>
    </row>
    <row r="1245" spans="3:23" x14ac:dyDescent="0.25">
      <c r="C1245" s="127"/>
      <c r="D1245" s="128"/>
      <c r="E1245" s="128"/>
      <c r="F1245" s="128"/>
      <c r="G1245" s="128"/>
      <c r="H1245" s="124"/>
      <c r="I1245" s="124"/>
      <c r="K1245" s="86"/>
      <c r="L1245" s="87"/>
      <c r="O1245" s="92"/>
      <c r="Q1245" s="93"/>
      <c r="S1245" s="100"/>
      <c r="T1245" s="91"/>
      <c r="U1245" s="101"/>
      <c r="V1245" s="61"/>
      <c r="W1245" s="61"/>
    </row>
    <row r="1246" spans="3:23" x14ac:dyDescent="0.25">
      <c r="C1246" s="125"/>
      <c r="D1246" s="126"/>
      <c r="E1246" s="126"/>
      <c r="F1246" s="126"/>
      <c r="G1246" s="126"/>
      <c r="H1246" s="124"/>
      <c r="I1246" s="124"/>
      <c r="K1246" s="86"/>
      <c r="L1246" s="87"/>
      <c r="O1246" s="92"/>
      <c r="Q1246" s="93"/>
      <c r="S1246" s="100"/>
      <c r="T1246" s="91"/>
      <c r="U1246" s="101"/>
      <c r="V1246" s="61"/>
      <c r="W1246" s="61"/>
    </row>
    <row r="1247" spans="3:23" x14ac:dyDescent="0.25">
      <c r="C1247" s="127"/>
      <c r="D1247" s="128"/>
      <c r="E1247" s="128"/>
      <c r="F1247" s="128"/>
      <c r="G1247" s="128"/>
      <c r="H1247" s="124"/>
      <c r="I1247" s="124"/>
      <c r="K1247" s="86"/>
      <c r="L1247" s="87"/>
      <c r="O1247" s="92"/>
      <c r="Q1247" s="93"/>
      <c r="S1247" s="100"/>
      <c r="T1247" s="91"/>
      <c r="U1247" s="101"/>
      <c r="V1247" s="61"/>
      <c r="W1247" s="61"/>
    </row>
    <row r="1248" spans="3:23" x14ac:dyDescent="0.25">
      <c r="C1248" s="125"/>
      <c r="D1248" s="126"/>
      <c r="E1248" s="126"/>
      <c r="F1248" s="126"/>
      <c r="G1248" s="126"/>
      <c r="H1248" s="124"/>
      <c r="I1248" s="124"/>
      <c r="K1248" s="86"/>
      <c r="L1248" s="87"/>
      <c r="O1248" s="92"/>
      <c r="Q1248" s="93"/>
      <c r="S1248" s="100"/>
      <c r="T1248" s="91"/>
      <c r="U1248" s="101"/>
      <c r="V1248" s="61"/>
      <c r="W1248" s="61"/>
    </row>
    <row r="1249" spans="3:23" x14ac:dyDescent="0.25">
      <c r="C1249" s="127"/>
      <c r="D1249" s="128"/>
      <c r="E1249" s="128"/>
      <c r="F1249" s="128"/>
      <c r="G1249" s="128"/>
      <c r="H1249" s="124"/>
      <c r="I1249" s="124"/>
      <c r="K1249" s="86"/>
      <c r="L1249" s="87"/>
      <c r="O1249" s="92"/>
      <c r="Q1249" s="93"/>
      <c r="S1249" s="100"/>
      <c r="T1249" s="91"/>
      <c r="U1249" s="101"/>
      <c r="V1249" s="61"/>
      <c r="W1249" s="61"/>
    </row>
    <row r="1250" spans="3:23" x14ac:dyDescent="0.25">
      <c r="C1250" s="125"/>
      <c r="D1250" s="126"/>
      <c r="E1250" s="126"/>
      <c r="F1250" s="126"/>
      <c r="G1250" s="126"/>
      <c r="H1250" s="124"/>
      <c r="I1250" s="124"/>
      <c r="K1250" s="86"/>
      <c r="L1250" s="87"/>
      <c r="O1250" s="92"/>
      <c r="Q1250" s="93"/>
      <c r="S1250" s="100"/>
      <c r="T1250" s="91"/>
      <c r="U1250" s="101"/>
      <c r="V1250" s="61"/>
      <c r="W1250" s="61"/>
    </row>
    <row r="1251" spans="3:23" x14ac:dyDescent="0.25">
      <c r="C1251" s="127"/>
      <c r="D1251" s="128"/>
      <c r="E1251" s="128"/>
      <c r="F1251" s="128"/>
      <c r="G1251" s="128"/>
      <c r="H1251" s="124"/>
      <c r="I1251" s="124"/>
      <c r="K1251" s="86"/>
      <c r="L1251" s="87"/>
      <c r="O1251" s="92"/>
      <c r="Q1251" s="93"/>
      <c r="S1251" s="100"/>
      <c r="T1251" s="91"/>
      <c r="U1251" s="101"/>
      <c r="V1251" s="61"/>
      <c r="W1251" s="61"/>
    </row>
    <row r="1252" spans="3:23" x14ac:dyDescent="0.25">
      <c r="C1252" s="125"/>
      <c r="D1252" s="126"/>
      <c r="E1252" s="126"/>
      <c r="F1252" s="126"/>
      <c r="G1252" s="126"/>
      <c r="H1252" s="124"/>
      <c r="I1252" s="124"/>
      <c r="K1252" s="86"/>
      <c r="L1252" s="87"/>
      <c r="O1252" s="92"/>
      <c r="Q1252" s="93"/>
      <c r="S1252" s="100"/>
      <c r="T1252" s="91"/>
      <c r="U1252" s="101"/>
      <c r="V1252" s="61"/>
      <c r="W1252" s="61"/>
    </row>
    <row r="1253" spans="3:23" x14ac:dyDescent="0.25">
      <c r="C1253" s="127"/>
      <c r="D1253" s="128"/>
      <c r="E1253" s="128"/>
      <c r="F1253" s="128"/>
      <c r="G1253" s="128"/>
      <c r="H1253" s="124"/>
      <c r="I1253" s="124"/>
      <c r="K1253" s="86"/>
      <c r="L1253" s="87"/>
      <c r="O1253" s="92"/>
      <c r="Q1253" s="93"/>
      <c r="S1253" s="100"/>
      <c r="T1253" s="91"/>
      <c r="U1253" s="101"/>
      <c r="V1253" s="61"/>
      <c r="W1253" s="61"/>
    </row>
    <row r="1254" spans="3:23" x14ac:dyDescent="0.25">
      <c r="C1254" s="125"/>
      <c r="D1254" s="126"/>
      <c r="E1254" s="126"/>
      <c r="F1254" s="126"/>
      <c r="G1254" s="126"/>
      <c r="H1254" s="124"/>
      <c r="I1254" s="124"/>
      <c r="K1254" s="86"/>
      <c r="L1254" s="87"/>
      <c r="O1254" s="92"/>
      <c r="Q1254" s="93"/>
      <c r="S1254" s="100"/>
      <c r="T1254" s="91"/>
      <c r="U1254" s="101"/>
      <c r="V1254" s="61"/>
      <c r="W1254" s="61"/>
    </row>
    <row r="1255" spans="3:23" x14ac:dyDescent="0.25">
      <c r="C1255" s="127"/>
      <c r="D1255" s="128"/>
      <c r="E1255" s="128"/>
      <c r="F1255" s="128"/>
      <c r="G1255" s="128"/>
      <c r="H1255" s="124"/>
      <c r="I1255" s="124"/>
      <c r="K1255" s="86"/>
      <c r="L1255" s="87"/>
      <c r="O1255" s="92"/>
      <c r="Q1255" s="93"/>
      <c r="S1255" s="100"/>
      <c r="T1255" s="91"/>
      <c r="U1255" s="101"/>
      <c r="V1255" s="61"/>
      <c r="W1255" s="61"/>
    </row>
    <row r="1256" spans="3:23" x14ac:dyDescent="0.25">
      <c r="C1256" s="125"/>
      <c r="D1256" s="126"/>
      <c r="E1256" s="126"/>
      <c r="F1256" s="126"/>
      <c r="G1256" s="126"/>
      <c r="H1256" s="124"/>
      <c r="I1256" s="124"/>
      <c r="K1256" s="86"/>
      <c r="L1256" s="87"/>
      <c r="O1256" s="92"/>
      <c r="Q1256" s="93"/>
      <c r="S1256" s="100"/>
      <c r="T1256" s="91"/>
      <c r="U1256" s="101"/>
      <c r="V1256" s="61"/>
      <c r="W1256" s="61"/>
    </row>
    <row r="1257" spans="3:23" x14ac:dyDescent="0.25">
      <c r="C1257" s="127"/>
      <c r="D1257" s="128"/>
      <c r="E1257" s="128"/>
      <c r="F1257" s="128"/>
      <c r="G1257" s="128"/>
      <c r="H1257" s="124"/>
      <c r="I1257" s="124"/>
      <c r="K1257" s="86"/>
      <c r="L1257" s="87"/>
      <c r="O1257" s="92"/>
      <c r="Q1257" s="93"/>
      <c r="S1257" s="100"/>
      <c r="T1257" s="91"/>
      <c r="U1257" s="101"/>
      <c r="V1257" s="61"/>
      <c r="W1257" s="61"/>
    </row>
    <row r="1258" spans="3:23" x14ac:dyDescent="0.25">
      <c r="C1258" s="125"/>
      <c r="D1258" s="126"/>
      <c r="E1258" s="126"/>
      <c r="F1258" s="126"/>
      <c r="G1258" s="126"/>
      <c r="H1258" s="124"/>
      <c r="I1258" s="124"/>
      <c r="K1258" s="86"/>
      <c r="L1258" s="87"/>
      <c r="O1258" s="92"/>
      <c r="Q1258" s="93"/>
      <c r="S1258" s="100"/>
      <c r="T1258" s="91"/>
      <c r="U1258" s="101"/>
      <c r="V1258" s="61"/>
      <c r="W1258" s="61"/>
    </row>
    <row r="1259" spans="3:23" x14ac:dyDescent="0.25">
      <c r="C1259" s="127"/>
      <c r="D1259" s="128"/>
      <c r="E1259" s="128"/>
      <c r="F1259" s="128"/>
      <c r="G1259" s="128"/>
      <c r="H1259" s="124"/>
      <c r="I1259" s="124"/>
      <c r="K1259" s="86"/>
      <c r="L1259" s="87"/>
      <c r="O1259" s="92"/>
      <c r="Q1259" s="93"/>
      <c r="S1259" s="100"/>
      <c r="T1259" s="91"/>
      <c r="U1259" s="101"/>
      <c r="V1259" s="61"/>
      <c r="W1259" s="61"/>
    </row>
    <row r="1260" spans="3:23" x14ac:dyDescent="0.25">
      <c r="C1260" s="125"/>
      <c r="D1260" s="126"/>
      <c r="E1260" s="126"/>
      <c r="F1260" s="126"/>
      <c r="G1260" s="126"/>
      <c r="H1260" s="124"/>
      <c r="I1260" s="124"/>
      <c r="K1260" s="86"/>
      <c r="L1260" s="87"/>
      <c r="O1260" s="92"/>
      <c r="Q1260" s="93"/>
      <c r="S1260" s="100"/>
      <c r="T1260" s="91"/>
      <c r="U1260" s="101"/>
      <c r="V1260" s="61"/>
      <c r="W1260" s="61"/>
    </row>
    <row r="1261" spans="3:23" x14ac:dyDescent="0.25">
      <c r="C1261" s="127"/>
      <c r="D1261" s="128"/>
      <c r="E1261" s="128"/>
      <c r="F1261" s="128"/>
      <c r="G1261" s="128"/>
      <c r="H1261" s="124"/>
      <c r="I1261" s="124"/>
      <c r="K1261" s="86"/>
      <c r="L1261" s="87"/>
      <c r="O1261" s="92"/>
      <c r="Q1261" s="93"/>
      <c r="S1261" s="100"/>
      <c r="T1261" s="91"/>
      <c r="U1261" s="101"/>
      <c r="V1261" s="61"/>
      <c r="W1261" s="61"/>
    </row>
    <row r="1262" spans="3:23" x14ac:dyDescent="0.25">
      <c r="C1262" s="125"/>
      <c r="D1262" s="126"/>
      <c r="E1262" s="126"/>
      <c r="F1262" s="126"/>
      <c r="G1262" s="126"/>
      <c r="H1262" s="124"/>
      <c r="I1262" s="124"/>
      <c r="K1262" s="86"/>
      <c r="L1262" s="87"/>
      <c r="O1262" s="92"/>
      <c r="Q1262" s="93"/>
      <c r="S1262" s="100"/>
      <c r="T1262" s="91"/>
      <c r="U1262" s="101"/>
      <c r="V1262" s="61"/>
      <c r="W1262" s="61"/>
    </row>
    <row r="1263" spans="3:23" x14ac:dyDescent="0.25">
      <c r="C1263" s="127"/>
      <c r="D1263" s="128"/>
      <c r="E1263" s="128"/>
      <c r="F1263" s="128"/>
      <c r="G1263" s="128"/>
      <c r="H1263" s="124"/>
      <c r="I1263" s="124"/>
      <c r="K1263" s="86"/>
      <c r="L1263" s="87"/>
      <c r="O1263" s="92"/>
      <c r="Q1263" s="93"/>
      <c r="S1263" s="100"/>
      <c r="T1263" s="91"/>
      <c r="U1263" s="101"/>
      <c r="V1263" s="61"/>
      <c r="W1263" s="61"/>
    </row>
    <row r="1264" spans="3:23" x14ac:dyDescent="0.25">
      <c r="C1264" s="125"/>
      <c r="D1264" s="126"/>
      <c r="E1264" s="126"/>
      <c r="F1264" s="126"/>
      <c r="G1264" s="126"/>
      <c r="H1264" s="124"/>
      <c r="I1264" s="124"/>
      <c r="K1264" s="86"/>
      <c r="L1264" s="87"/>
      <c r="O1264" s="92"/>
      <c r="Q1264" s="93"/>
      <c r="S1264" s="100"/>
      <c r="T1264" s="91"/>
      <c r="U1264" s="101"/>
      <c r="V1264" s="61"/>
      <c r="W1264" s="61"/>
    </row>
    <row r="1265" spans="3:23" x14ac:dyDescent="0.25">
      <c r="C1265" s="127"/>
      <c r="D1265" s="128"/>
      <c r="E1265" s="128"/>
      <c r="F1265" s="128"/>
      <c r="G1265" s="128"/>
      <c r="H1265" s="124"/>
      <c r="I1265" s="124"/>
      <c r="K1265" s="86"/>
      <c r="L1265" s="87"/>
      <c r="O1265" s="92"/>
      <c r="Q1265" s="93"/>
      <c r="S1265" s="100"/>
      <c r="T1265" s="91"/>
      <c r="U1265" s="101"/>
      <c r="V1265" s="61"/>
      <c r="W1265" s="61"/>
    </row>
    <row r="1266" spans="3:23" x14ac:dyDescent="0.25">
      <c r="C1266" s="125"/>
      <c r="D1266" s="126"/>
      <c r="E1266" s="126"/>
      <c r="F1266" s="126"/>
      <c r="G1266" s="126"/>
      <c r="H1266" s="124"/>
      <c r="I1266" s="124"/>
      <c r="K1266" s="86"/>
      <c r="L1266" s="87"/>
      <c r="O1266" s="92"/>
      <c r="Q1266" s="93"/>
      <c r="S1266" s="100"/>
      <c r="T1266" s="91"/>
      <c r="U1266" s="101"/>
      <c r="V1266" s="61"/>
      <c r="W1266" s="61"/>
    </row>
    <row r="1267" spans="3:23" x14ac:dyDescent="0.25">
      <c r="C1267" s="127"/>
      <c r="D1267" s="128"/>
      <c r="E1267" s="128"/>
      <c r="F1267" s="128"/>
      <c r="G1267" s="128"/>
      <c r="H1267" s="124"/>
      <c r="I1267" s="124"/>
      <c r="K1267" s="86"/>
      <c r="L1267" s="87"/>
      <c r="O1267" s="92"/>
      <c r="Q1267" s="93"/>
      <c r="S1267" s="100"/>
      <c r="T1267" s="91"/>
      <c r="U1267" s="101"/>
      <c r="V1267" s="61"/>
      <c r="W1267" s="61"/>
    </row>
    <row r="1268" spans="3:23" x14ac:dyDescent="0.25">
      <c r="C1268" s="125"/>
      <c r="D1268" s="126"/>
      <c r="E1268" s="126"/>
      <c r="F1268" s="126"/>
      <c r="G1268" s="126"/>
      <c r="H1268" s="124"/>
      <c r="I1268" s="124"/>
      <c r="K1268" s="86"/>
      <c r="L1268" s="87"/>
      <c r="O1268" s="92"/>
      <c r="Q1268" s="93"/>
      <c r="S1268" s="100"/>
      <c r="T1268" s="91"/>
      <c r="U1268" s="101"/>
      <c r="V1268" s="61"/>
      <c r="W1268" s="61"/>
    </row>
    <row r="1269" spans="3:23" x14ac:dyDescent="0.25">
      <c r="C1269" s="127"/>
      <c r="D1269" s="128"/>
      <c r="E1269" s="128"/>
      <c r="F1269" s="128"/>
      <c r="G1269" s="128"/>
      <c r="H1269" s="124"/>
      <c r="I1269" s="124"/>
      <c r="K1269" s="86"/>
      <c r="L1269" s="87"/>
      <c r="O1269" s="92"/>
      <c r="Q1269" s="93"/>
      <c r="S1269" s="100"/>
      <c r="T1269" s="91"/>
      <c r="U1269" s="101"/>
      <c r="V1269" s="61"/>
      <c r="W1269" s="61"/>
    </row>
    <row r="1270" spans="3:23" x14ac:dyDescent="0.25">
      <c r="C1270" s="125"/>
      <c r="D1270" s="126"/>
      <c r="E1270" s="126"/>
      <c r="F1270" s="126"/>
      <c r="G1270" s="126"/>
      <c r="H1270" s="124"/>
      <c r="I1270" s="124"/>
      <c r="K1270" s="86"/>
      <c r="L1270" s="87"/>
      <c r="O1270" s="92"/>
      <c r="Q1270" s="93"/>
      <c r="S1270" s="100"/>
      <c r="T1270" s="91"/>
      <c r="U1270" s="101"/>
      <c r="V1270" s="61"/>
      <c r="W1270" s="61"/>
    </row>
    <row r="1271" spans="3:23" x14ac:dyDescent="0.25">
      <c r="C1271" s="127"/>
      <c r="D1271" s="128"/>
      <c r="E1271" s="128"/>
      <c r="F1271" s="128"/>
      <c r="G1271" s="128"/>
      <c r="H1271" s="124"/>
      <c r="I1271" s="124"/>
      <c r="K1271" s="86"/>
      <c r="L1271" s="87"/>
      <c r="O1271" s="92"/>
      <c r="Q1271" s="93"/>
      <c r="S1271" s="100"/>
      <c r="T1271" s="91"/>
      <c r="U1271" s="101"/>
      <c r="V1271" s="61"/>
      <c r="W1271" s="61"/>
    </row>
    <row r="1272" spans="3:23" x14ac:dyDescent="0.25">
      <c r="C1272" s="125"/>
      <c r="D1272" s="126"/>
      <c r="E1272" s="126"/>
      <c r="F1272" s="126"/>
      <c r="G1272" s="126"/>
      <c r="H1272" s="124"/>
      <c r="I1272" s="124"/>
      <c r="K1272" s="86"/>
      <c r="L1272" s="87"/>
      <c r="O1272" s="92"/>
      <c r="Q1272" s="93"/>
      <c r="S1272" s="100"/>
      <c r="T1272" s="91"/>
      <c r="U1272" s="101"/>
      <c r="V1272" s="61"/>
      <c r="W1272" s="61"/>
    </row>
    <row r="1273" spans="3:23" x14ac:dyDescent="0.25">
      <c r="C1273" s="127"/>
      <c r="D1273" s="128"/>
      <c r="E1273" s="128"/>
      <c r="F1273" s="128"/>
      <c r="G1273" s="128"/>
      <c r="H1273" s="124"/>
      <c r="I1273" s="124"/>
      <c r="K1273" s="86"/>
      <c r="L1273" s="87"/>
      <c r="O1273" s="92"/>
      <c r="Q1273" s="93"/>
      <c r="S1273" s="100"/>
      <c r="T1273" s="91"/>
      <c r="U1273" s="101"/>
      <c r="V1273" s="61"/>
      <c r="W1273" s="61"/>
    </row>
    <row r="1274" spans="3:23" x14ac:dyDescent="0.25">
      <c r="C1274" s="125"/>
      <c r="D1274" s="126"/>
      <c r="E1274" s="126"/>
      <c r="F1274" s="126"/>
      <c r="G1274" s="126"/>
      <c r="H1274" s="124"/>
      <c r="I1274" s="124"/>
      <c r="K1274" s="86"/>
      <c r="L1274" s="87"/>
      <c r="O1274" s="92"/>
      <c r="Q1274" s="93"/>
      <c r="S1274" s="100"/>
      <c r="T1274" s="91"/>
      <c r="U1274" s="101"/>
      <c r="V1274" s="61"/>
      <c r="W1274" s="61"/>
    </row>
    <row r="1275" spans="3:23" x14ac:dyDescent="0.25">
      <c r="C1275" s="127"/>
      <c r="D1275" s="128"/>
      <c r="E1275" s="128"/>
      <c r="F1275" s="128"/>
      <c r="G1275" s="128"/>
      <c r="H1275" s="124"/>
      <c r="I1275" s="124"/>
      <c r="K1275" s="86"/>
      <c r="L1275" s="87"/>
      <c r="O1275" s="92"/>
      <c r="Q1275" s="93"/>
      <c r="S1275" s="100"/>
      <c r="T1275" s="91"/>
      <c r="U1275" s="101"/>
      <c r="V1275" s="61"/>
      <c r="W1275" s="61"/>
    </row>
    <row r="1276" spans="3:23" x14ac:dyDescent="0.25">
      <c r="C1276" s="125"/>
      <c r="D1276" s="126"/>
      <c r="E1276" s="126"/>
      <c r="F1276" s="126"/>
      <c r="G1276" s="126"/>
      <c r="H1276" s="124"/>
      <c r="I1276" s="124"/>
      <c r="K1276" s="86"/>
      <c r="L1276" s="87"/>
      <c r="O1276" s="92"/>
      <c r="Q1276" s="93"/>
      <c r="S1276" s="100"/>
      <c r="T1276" s="91"/>
      <c r="U1276" s="101"/>
      <c r="V1276" s="61"/>
      <c r="W1276" s="61"/>
    </row>
    <row r="1277" spans="3:23" x14ac:dyDescent="0.25">
      <c r="C1277" s="127"/>
      <c r="D1277" s="128"/>
      <c r="E1277" s="128"/>
      <c r="F1277" s="128"/>
      <c r="G1277" s="128"/>
      <c r="H1277" s="124"/>
      <c r="I1277" s="124"/>
      <c r="K1277" s="86"/>
      <c r="L1277" s="87"/>
      <c r="O1277" s="92"/>
      <c r="Q1277" s="93"/>
      <c r="S1277" s="100"/>
      <c r="T1277" s="91"/>
      <c r="U1277" s="101"/>
      <c r="V1277" s="61"/>
      <c r="W1277" s="61"/>
    </row>
    <row r="1278" spans="3:23" x14ac:dyDescent="0.25">
      <c r="C1278" s="125"/>
      <c r="D1278" s="126"/>
      <c r="E1278" s="126"/>
      <c r="F1278" s="126"/>
      <c r="G1278" s="126"/>
      <c r="H1278" s="124"/>
      <c r="I1278" s="124"/>
      <c r="K1278" s="86"/>
      <c r="L1278" s="87"/>
      <c r="O1278" s="92"/>
      <c r="Q1278" s="93"/>
      <c r="S1278" s="100"/>
      <c r="T1278" s="91"/>
      <c r="U1278" s="101"/>
      <c r="V1278" s="61"/>
      <c r="W1278" s="61"/>
    </row>
    <row r="1279" spans="3:23" x14ac:dyDescent="0.25">
      <c r="C1279" s="127"/>
      <c r="D1279" s="128"/>
      <c r="E1279" s="128"/>
      <c r="F1279" s="128"/>
      <c r="G1279" s="128"/>
      <c r="H1279" s="124"/>
      <c r="I1279" s="124"/>
      <c r="K1279" s="86"/>
      <c r="L1279" s="87"/>
      <c r="O1279" s="92"/>
      <c r="Q1279" s="93"/>
      <c r="S1279" s="100"/>
      <c r="T1279" s="91"/>
      <c r="U1279" s="101"/>
      <c r="V1279" s="61"/>
      <c r="W1279" s="61"/>
    </row>
    <row r="1280" spans="3:23" x14ac:dyDescent="0.25">
      <c r="C1280" s="125"/>
      <c r="D1280" s="126"/>
      <c r="E1280" s="126"/>
      <c r="F1280" s="126"/>
      <c r="G1280" s="126"/>
      <c r="H1280" s="124"/>
      <c r="I1280" s="124"/>
      <c r="K1280" s="86"/>
      <c r="L1280" s="87"/>
      <c r="O1280" s="92"/>
      <c r="Q1280" s="93"/>
      <c r="S1280" s="100"/>
      <c r="T1280" s="91"/>
      <c r="U1280" s="101"/>
      <c r="V1280" s="61"/>
      <c r="W1280" s="61"/>
    </row>
    <row r="1281" spans="3:23" x14ac:dyDescent="0.25">
      <c r="C1281" s="127"/>
      <c r="D1281" s="128"/>
      <c r="E1281" s="128"/>
      <c r="F1281" s="128"/>
      <c r="G1281" s="128"/>
      <c r="H1281" s="124"/>
      <c r="I1281" s="124"/>
      <c r="K1281" s="86"/>
      <c r="L1281" s="87"/>
      <c r="O1281" s="92"/>
      <c r="Q1281" s="93"/>
      <c r="S1281" s="100"/>
      <c r="T1281" s="91"/>
      <c r="U1281" s="101"/>
      <c r="V1281" s="61"/>
      <c r="W1281" s="61"/>
    </row>
    <row r="1282" spans="3:23" x14ac:dyDescent="0.25">
      <c r="C1282" s="125"/>
      <c r="D1282" s="126"/>
      <c r="E1282" s="126"/>
      <c r="F1282" s="126"/>
      <c r="G1282" s="126"/>
      <c r="H1282" s="124"/>
      <c r="I1282" s="124"/>
      <c r="K1282" s="86"/>
      <c r="L1282" s="87"/>
      <c r="O1282" s="92"/>
      <c r="Q1282" s="93"/>
      <c r="S1282" s="100"/>
      <c r="T1282" s="91"/>
      <c r="U1282" s="101"/>
      <c r="V1282" s="61"/>
      <c r="W1282" s="61"/>
    </row>
    <row r="1283" spans="3:23" x14ac:dyDescent="0.25">
      <c r="C1283" s="127"/>
      <c r="D1283" s="128"/>
      <c r="E1283" s="128"/>
      <c r="F1283" s="128"/>
      <c r="G1283" s="128"/>
      <c r="H1283" s="124"/>
      <c r="I1283" s="124"/>
      <c r="K1283" s="86"/>
      <c r="L1283" s="87"/>
      <c r="O1283" s="92"/>
      <c r="Q1283" s="93"/>
      <c r="S1283" s="100"/>
      <c r="T1283" s="91"/>
      <c r="U1283" s="101"/>
      <c r="V1283" s="61"/>
      <c r="W1283" s="61"/>
    </row>
    <row r="1284" spans="3:23" x14ac:dyDescent="0.25">
      <c r="C1284" s="125"/>
      <c r="D1284" s="126"/>
      <c r="E1284" s="126"/>
      <c r="F1284" s="126"/>
      <c r="G1284" s="126"/>
      <c r="H1284" s="124"/>
      <c r="I1284" s="124"/>
      <c r="K1284" s="86"/>
      <c r="L1284" s="87"/>
      <c r="O1284" s="92"/>
      <c r="Q1284" s="93"/>
      <c r="S1284" s="100"/>
      <c r="T1284" s="91"/>
      <c r="U1284" s="101"/>
      <c r="V1284" s="61"/>
      <c r="W1284" s="61"/>
    </row>
    <row r="1285" spans="3:23" x14ac:dyDescent="0.25">
      <c r="C1285" s="127"/>
      <c r="D1285" s="128"/>
      <c r="E1285" s="128"/>
      <c r="F1285" s="128"/>
      <c r="G1285" s="128"/>
      <c r="H1285" s="124"/>
      <c r="I1285" s="124"/>
      <c r="K1285" s="86"/>
      <c r="L1285" s="87"/>
      <c r="O1285" s="92"/>
      <c r="Q1285" s="93"/>
      <c r="S1285" s="100"/>
      <c r="T1285" s="91"/>
      <c r="U1285" s="101"/>
      <c r="V1285" s="61"/>
      <c r="W1285" s="61"/>
    </row>
    <row r="1286" spans="3:23" x14ac:dyDescent="0.25">
      <c r="C1286" s="125"/>
      <c r="D1286" s="126"/>
      <c r="E1286" s="126"/>
      <c r="F1286" s="126"/>
      <c r="G1286" s="126"/>
      <c r="H1286" s="124"/>
      <c r="I1286" s="124"/>
      <c r="K1286" s="86"/>
      <c r="L1286" s="87"/>
      <c r="O1286" s="92"/>
      <c r="Q1286" s="93"/>
      <c r="S1286" s="100"/>
      <c r="T1286" s="91"/>
      <c r="U1286" s="101"/>
      <c r="V1286" s="61"/>
      <c r="W1286" s="61"/>
    </row>
    <row r="1287" spans="3:23" x14ac:dyDescent="0.25">
      <c r="C1287" s="127"/>
      <c r="D1287" s="128"/>
      <c r="E1287" s="128"/>
      <c r="F1287" s="128"/>
      <c r="G1287" s="128"/>
      <c r="H1287" s="124"/>
      <c r="I1287" s="124"/>
      <c r="K1287" s="86"/>
      <c r="L1287" s="87"/>
      <c r="O1287" s="92"/>
      <c r="Q1287" s="93"/>
      <c r="S1287" s="100"/>
      <c r="T1287" s="91"/>
      <c r="U1287" s="101"/>
      <c r="V1287" s="61"/>
      <c r="W1287" s="61"/>
    </row>
    <row r="1288" spans="3:23" x14ac:dyDescent="0.25">
      <c r="C1288" s="125"/>
      <c r="D1288" s="126"/>
      <c r="E1288" s="126"/>
      <c r="F1288" s="126"/>
      <c r="G1288" s="126"/>
      <c r="H1288" s="124"/>
      <c r="I1288" s="124"/>
      <c r="K1288" s="86"/>
      <c r="L1288" s="87"/>
      <c r="O1288" s="92"/>
      <c r="Q1288" s="93"/>
      <c r="S1288" s="100"/>
      <c r="T1288" s="91"/>
      <c r="U1288" s="101"/>
      <c r="V1288" s="61"/>
      <c r="W1288" s="61"/>
    </row>
    <row r="1289" spans="3:23" x14ac:dyDescent="0.25">
      <c r="C1289" s="127"/>
      <c r="D1289" s="128"/>
      <c r="E1289" s="128"/>
      <c r="F1289" s="128"/>
      <c r="G1289" s="128"/>
      <c r="H1289" s="124"/>
      <c r="I1289" s="124"/>
      <c r="K1289" s="86"/>
      <c r="L1289" s="87"/>
      <c r="O1289" s="92"/>
      <c r="Q1289" s="93"/>
      <c r="S1289" s="100"/>
      <c r="T1289" s="91"/>
      <c r="U1289" s="101"/>
      <c r="V1289" s="61"/>
      <c r="W1289" s="61"/>
    </row>
    <row r="1290" spans="3:23" x14ac:dyDescent="0.25">
      <c r="C1290" s="125"/>
      <c r="D1290" s="126"/>
      <c r="E1290" s="126"/>
      <c r="F1290" s="126"/>
      <c r="G1290" s="126"/>
      <c r="H1290" s="124"/>
      <c r="I1290" s="124"/>
      <c r="K1290" s="86"/>
      <c r="L1290" s="87"/>
      <c r="O1290" s="92"/>
      <c r="Q1290" s="93"/>
      <c r="S1290" s="100"/>
      <c r="T1290" s="91"/>
      <c r="U1290" s="101"/>
      <c r="V1290" s="61"/>
      <c r="W1290" s="61"/>
    </row>
    <row r="1291" spans="3:23" x14ac:dyDescent="0.25">
      <c r="C1291" s="127"/>
      <c r="D1291" s="128"/>
      <c r="E1291" s="128"/>
      <c r="F1291" s="128"/>
      <c r="G1291" s="128"/>
      <c r="H1291" s="124"/>
      <c r="I1291" s="124"/>
      <c r="K1291" s="86"/>
      <c r="L1291" s="87"/>
      <c r="O1291" s="92"/>
      <c r="Q1291" s="93"/>
      <c r="S1291" s="100"/>
      <c r="T1291" s="91"/>
      <c r="U1291" s="101"/>
      <c r="V1291" s="61"/>
      <c r="W1291" s="61"/>
    </row>
    <row r="1292" spans="3:23" x14ac:dyDescent="0.25">
      <c r="C1292" s="125"/>
      <c r="D1292" s="126"/>
      <c r="E1292" s="126"/>
      <c r="F1292" s="126"/>
      <c r="G1292" s="126"/>
      <c r="H1292" s="124"/>
      <c r="I1292" s="124"/>
      <c r="K1292" s="86"/>
      <c r="L1292" s="87"/>
      <c r="O1292" s="92"/>
      <c r="Q1292" s="93"/>
      <c r="S1292" s="100"/>
      <c r="T1292" s="91"/>
      <c r="U1292" s="101"/>
      <c r="V1292" s="61"/>
      <c r="W1292" s="61"/>
    </row>
    <row r="1293" spans="3:23" x14ac:dyDescent="0.25">
      <c r="C1293" s="127"/>
      <c r="D1293" s="128"/>
      <c r="E1293" s="128"/>
      <c r="F1293" s="128"/>
      <c r="G1293" s="128"/>
      <c r="H1293" s="124"/>
      <c r="I1293" s="124"/>
      <c r="K1293" s="86"/>
      <c r="L1293" s="87"/>
      <c r="O1293" s="92"/>
      <c r="Q1293" s="93"/>
      <c r="S1293" s="100"/>
      <c r="T1293" s="91"/>
      <c r="U1293" s="101"/>
      <c r="V1293" s="61"/>
      <c r="W1293" s="61"/>
    </row>
    <row r="1294" spans="3:23" x14ac:dyDescent="0.25">
      <c r="C1294" s="125"/>
      <c r="D1294" s="126"/>
      <c r="E1294" s="126"/>
      <c r="F1294" s="126"/>
      <c r="G1294" s="126"/>
      <c r="H1294" s="124"/>
      <c r="I1294" s="124"/>
      <c r="K1294" s="86"/>
      <c r="L1294" s="87"/>
      <c r="O1294" s="92"/>
      <c r="Q1294" s="93"/>
      <c r="S1294" s="100"/>
      <c r="T1294" s="91"/>
      <c r="U1294" s="101"/>
      <c r="V1294" s="61"/>
      <c r="W1294" s="61"/>
    </row>
    <row r="1295" spans="3:23" x14ac:dyDescent="0.25">
      <c r="C1295" s="127"/>
      <c r="D1295" s="128"/>
      <c r="E1295" s="128"/>
      <c r="F1295" s="128"/>
      <c r="G1295" s="128"/>
      <c r="H1295" s="124"/>
      <c r="I1295" s="124"/>
      <c r="K1295" s="86"/>
      <c r="L1295" s="87"/>
      <c r="O1295" s="92"/>
      <c r="Q1295" s="93"/>
      <c r="S1295" s="100"/>
      <c r="T1295" s="91"/>
      <c r="U1295" s="101"/>
      <c r="V1295" s="61"/>
      <c r="W1295" s="61"/>
    </row>
    <row r="1296" spans="3:23" x14ac:dyDescent="0.25">
      <c r="C1296" s="125"/>
      <c r="D1296" s="126"/>
      <c r="E1296" s="126"/>
      <c r="F1296" s="126"/>
      <c r="G1296" s="126"/>
      <c r="H1296" s="124"/>
      <c r="I1296" s="124"/>
      <c r="K1296" s="86"/>
      <c r="L1296" s="87"/>
      <c r="O1296" s="92"/>
      <c r="Q1296" s="93"/>
      <c r="S1296" s="100"/>
      <c r="T1296" s="91"/>
      <c r="U1296" s="101"/>
      <c r="V1296" s="61"/>
      <c r="W1296" s="61"/>
    </row>
    <row r="1297" spans="3:23" x14ac:dyDescent="0.25">
      <c r="C1297" s="127"/>
      <c r="D1297" s="128"/>
      <c r="E1297" s="128"/>
      <c r="F1297" s="128"/>
      <c r="G1297" s="128"/>
      <c r="H1297" s="124"/>
      <c r="I1297" s="124"/>
      <c r="K1297" s="86"/>
      <c r="L1297" s="87"/>
      <c r="O1297" s="92"/>
      <c r="Q1297" s="93"/>
      <c r="S1297" s="100"/>
      <c r="T1297" s="91"/>
      <c r="U1297" s="101"/>
      <c r="V1297" s="61"/>
      <c r="W1297" s="61"/>
    </row>
    <row r="1298" spans="3:23" x14ac:dyDescent="0.25">
      <c r="C1298" s="125"/>
      <c r="D1298" s="126"/>
      <c r="E1298" s="126"/>
      <c r="F1298" s="126"/>
      <c r="G1298" s="126"/>
      <c r="H1298" s="124"/>
      <c r="I1298" s="124"/>
      <c r="K1298" s="86"/>
      <c r="L1298" s="87"/>
      <c r="O1298" s="92"/>
      <c r="Q1298" s="93"/>
      <c r="S1298" s="100"/>
      <c r="T1298" s="91"/>
      <c r="U1298" s="101"/>
      <c r="V1298" s="61"/>
      <c r="W1298" s="61"/>
    </row>
    <row r="1299" spans="3:23" x14ac:dyDescent="0.25">
      <c r="C1299" s="127"/>
      <c r="D1299" s="128"/>
      <c r="E1299" s="128"/>
      <c r="F1299" s="128"/>
      <c r="G1299" s="128"/>
      <c r="H1299" s="124"/>
      <c r="I1299" s="124"/>
      <c r="K1299" s="86"/>
      <c r="L1299" s="87"/>
      <c r="O1299" s="92"/>
      <c r="Q1299" s="93"/>
      <c r="S1299" s="100"/>
      <c r="T1299" s="91"/>
      <c r="U1299" s="101"/>
      <c r="V1299" s="61"/>
      <c r="W1299" s="61"/>
    </row>
    <row r="1300" spans="3:23" x14ac:dyDescent="0.25">
      <c r="C1300" s="125"/>
      <c r="D1300" s="126"/>
      <c r="E1300" s="126"/>
      <c r="F1300" s="126"/>
      <c r="G1300" s="126"/>
      <c r="H1300" s="124"/>
      <c r="I1300" s="124"/>
      <c r="K1300" s="86"/>
      <c r="L1300" s="87"/>
      <c r="O1300" s="92"/>
      <c r="Q1300" s="93"/>
      <c r="S1300" s="100"/>
      <c r="T1300" s="91"/>
      <c r="U1300" s="101"/>
      <c r="V1300" s="61"/>
      <c r="W1300" s="61"/>
    </row>
    <row r="1301" spans="3:23" x14ac:dyDescent="0.25">
      <c r="C1301" s="127"/>
      <c r="D1301" s="128"/>
      <c r="E1301" s="128"/>
      <c r="F1301" s="128"/>
      <c r="G1301" s="128"/>
      <c r="H1301" s="124"/>
      <c r="I1301" s="124"/>
      <c r="K1301" s="86"/>
      <c r="L1301" s="87"/>
      <c r="O1301" s="92"/>
      <c r="Q1301" s="93"/>
      <c r="S1301" s="100"/>
      <c r="T1301" s="91"/>
      <c r="U1301" s="101"/>
      <c r="V1301" s="61"/>
      <c r="W1301" s="61"/>
    </row>
    <row r="1302" spans="3:23" x14ac:dyDescent="0.25">
      <c r="C1302" s="125"/>
      <c r="D1302" s="126"/>
      <c r="E1302" s="126"/>
      <c r="F1302" s="126"/>
      <c r="G1302" s="126"/>
      <c r="H1302" s="124"/>
      <c r="I1302" s="124"/>
      <c r="K1302" s="86"/>
      <c r="L1302" s="87"/>
      <c r="O1302" s="92"/>
      <c r="Q1302" s="93"/>
      <c r="S1302" s="100"/>
      <c r="T1302" s="91"/>
      <c r="U1302" s="101"/>
      <c r="V1302" s="61"/>
      <c r="W1302" s="61"/>
    </row>
    <row r="1303" spans="3:23" x14ac:dyDescent="0.25">
      <c r="C1303" s="127"/>
      <c r="D1303" s="128"/>
      <c r="E1303" s="128"/>
      <c r="F1303" s="128"/>
      <c r="G1303" s="128"/>
      <c r="H1303" s="124"/>
      <c r="I1303" s="124"/>
      <c r="K1303" s="86"/>
      <c r="L1303" s="87"/>
      <c r="O1303" s="92"/>
      <c r="Q1303" s="93"/>
      <c r="S1303" s="100"/>
      <c r="T1303" s="91"/>
      <c r="U1303" s="101"/>
      <c r="V1303" s="61"/>
      <c r="W1303" s="61"/>
    </row>
    <row r="1304" spans="3:23" x14ac:dyDescent="0.25">
      <c r="C1304" s="125"/>
      <c r="D1304" s="126"/>
      <c r="E1304" s="126"/>
      <c r="F1304" s="126"/>
      <c r="G1304" s="126"/>
      <c r="H1304" s="124"/>
      <c r="I1304" s="124"/>
      <c r="K1304" s="86"/>
      <c r="L1304" s="87"/>
      <c r="O1304" s="92"/>
      <c r="Q1304" s="93"/>
      <c r="S1304" s="100"/>
      <c r="T1304" s="91"/>
      <c r="U1304" s="101"/>
      <c r="V1304" s="61"/>
      <c r="W1304" s="61"/>
    </row>
    <row r="1305" spans="3:23" x14ac:dyDescent="0.25">
      <c r="C1305" s="127"/>
      <c r="D1305" s="128"/>
      <c r="E1305" s="128"/>
      <c r="F1305" s="128"/>
      <c r="G1305" s="128"/>
      <c r="H1305" s="124"/>
      <c r="I1305" s="124"/>
      <c r="K1305" s="86"/>
      <c r="L1305" s="87"/>
      <c r="O1305" s="92"/>
      <c r="Q1305" s="93"/>
      <c r="S1305" s="100"/>
      <c r="T1305" s="91"/>
      <c r="U1305" s="101"/>
      <c r="V1305" s="61"/>
      <c r="W1305" s="61"/>
    </row>
    <row r="1306" spans="3:23" x14ac:dyDescent="0.25">
      <c r="C1306" s="125"/>
      <c r="D1306" s="126"/>
      <c r="E1306" s="126"/>
      <c r="F1306" s="126"/>
      <c r="G1306" s="126"/>
      <c r="H1306" s="124"/>
      <c r="I1306" s="124"/>
      <c r="K1306" s="86"/>
      <c r="L1306" s="87"/>
      <c r="O1306" s="92"/>
      <c r="Q1306" s="93"/>
      <c r="S1306" s="100"/>
      <c r="T1306" s="91"/>
      <c r="U1306" s="101"/>
      <c r="V1306" s="61"/>
      <c r="W1306" s="61"/>
    </row>
    <row r="1307" spans="3:23" x14ac:dyDescent="0.25">
      <c r="C1307" s="127"/>
      <c r="D1307" s="128"/>
      <c r="E1307" s="128"/>
      <c r="F1307" s="128"/>
      <c r="G1307" s="128"/>
      <c r="H1307" s="124"/>
      <c r="I1307" s="124"/>
      <c r="K1307" s="86"/>
      <c r="L1307" s="87"/>
      <c r="O1307" s="92"/>
      <c r="Q1307" s="93"/>
      <c r="S1307" s="100"/>
      <c r="T1307" s="91"/>
      <c r="U1307" s="101"/>
      <c r="V1307" s="61"/>
      <c r="W1307" s="61"/>
    </row>
    <row r="1308" spans="3:23" x14ac:dyDescent="0.25">
      <c r="C1308" s="125"/>
      <c r="D1308" s="126"/>
      <c r="E1308" s="126"/>
      <c r="F1308" s="126"/>
      <c r="G1308" s="126"/>
      <c r="H1308" s="124"/>
      <c r="I1308" s="124"/>
      <c r="K1308" s="86"/>
      <c r="L1308" s="87"/>
      <c r="O1308" s="92"/>
      <c r="Q1308" s="93"/>
      <c r="S1308" s="100"/>
      <c r="T1308" s="91"/>
      <c r="U1308" s="101"/>
      <c r="V1308" s="61"/>
      <c r="W1308" s="61"/>
    </row>
    <row r="1309" spans="3:23" x14ac:dyDescent="0.25">
      <c r="C1309" s="127"/>
      <c r="D1309" s="128"/>
      <c r="E1309" s="128"/>
      <c r="F1309" s="128"/>
      <c r="G1309" s="128"/>
      <c r="H1309" s="124"/>
      <c r="I1309" s="124"/>
      <c r="K1309" s="86"/>
      <c r="L1309" s="87"/>
      <c r="O1309" s="92"/>
      <c r="Q1309" s="93"/>
      <c r="S1309" s="100"/>
      <c r="T1309" s="91"/>
      <c r="U1309" s="101"/>
      <c r="V1309" s="61"/>
      <c r="W1309" s="61"/>
    </row>
    <row r="1310" spans="3:23" x14ac:dyDescent="0.25">
      <c r="C1310" s="125"/>
      <c r="D1310" s="126"/>
      <c r="E1310" s="126"/>
      <c r="F1310" s="126"/>
      <c r="G1310" s="126"/>
      <c r="H1310" s="124"/>
      <c r="I1310" s="124"/>
      <c r="K1310" s="86"/>
      <c r="L1310" s="87"/>
      <c r="O1310" s="92"/>
      <c r="Q1310" s="93"/>
      <c r="S1310" s="100"/>
      <c r="T1310" s="91"/>
      <c r="U1310" s="101"/>
      <c r="V1310" s="61"/>
      <c r="W1310" s="61"/>
    </row>
    <row r="1311" spans="3:23" x14ac:dyDescent="0.25">
      <c r="C1311" s="127"/>
      <c r="D1311" s="128"/>
      <c r="E1311" s="128"/>
      <c r="F1311" s="128"/>
      <c r="G1311" s="128"/>
      <c r="H1311" s="124"/>
      <c r="I1311" s="124"/>
      <c r="K1311" s="86"/>
      <c r="L1311" s="87"/>
      <c r="O1311" s="92"/>
      <c r="Q1311" s="93"/>
      <c r="S1311" s="100"/>
      <c r="T1311" s="91"/>
      <c r="U1311" s="101"/>
      <c r="V1311" s="61"/>
      <c r="W1311" s="61"/>
    </row>
    <row r="1312" spans="3:23" x14ac:dyDescent="0.25">
      <c r="C1312" s="125"/>
      <c r="D1312" s="126"/>
      <c r="E1312" s="126"/>
      <c r="F1312" s="126"/>
      <c r="G1312" s="126"/>
      <c r="H1312" s="124"/>
      <c r="I1312" s="124"/>
      <c r="K1312" s="86"/>
      <c r="L1312" s="87"/>
      <c r="O1312" s="92"/>
      <c r="Q1312" s="93"/>
      <c r="S1312" s="100"/>
      <c r="T1312" s="91"/>
      <c r="U1312" s="101"/>
      <c r="V1312" s="61"/>
      <c r="W1312" s="61"/>
    </row>
    <row r="1313" spans="3:23" x14ac:dyDescent="0.25">
      <c r="C1313" s="127"/>
      <c r="D1313" s="128"/>
      <c r="E1313" s="128"/>
      <c r="F1313" s="128"/>
      <c r="G1313" s="128"/>
      <c r="H1313" s="124"/>
      <c r="I1313" s="124"/>
      <c r="K1313" s="86"/>
      <c r="L1313" s="87"/>
      <c r="O1313" s="92"/>
      <c r="Q1313" s="93"/>
      <c r="S1313" s="100"/>
      <c r="T1313" s="91"/>
      <c r="U1313" s="101"/>
      <c r="V1313" s="61"/>
      <c r="W1313" s="61"/>
    </row>
    <row r="1314" spans="3:23" x14ac:dyDescent="0.25">
      <c r="C1314" s="125"/>
      <c r="D1314" s="126"/>
      <c r="E1314" s="126"/>
      <c r="F1314" s="126"/>
      <c r="G1314" s="126"/>
      <c r="H1314" s="124"/>
      <c r="I1314" s="124"/>
      <c r="K1314" s="86"/>
      <c r="L1314" s="87"/>
      <c r="O1314" s="92"/>
      <c r="Q1314" s="93"/>
      <c r="S1314" s="100"/>
      <c r="T1314" s="91"/>
      <c r="U1314" s="101"/>
      <c r="V1314" s="61"/>
      <c r="W1314" s="61"/>
    </row>
    <row r="1315" spans="3:23" x14ac:dyDescent="0.25">
      <c r="C1315" s="127"/>
      <c r="D1315" s="128"/>
      <c r="E1315" s="128"/>
      <c r="F1315" s="128"/>
      <c r="G1315" s="128"/>
      <c r="H1315" s="124"/>
      <c r="I1315" s="124"/>
      <c r="K1315" s="86"/>
      <c r="L1315" s="87"/>
      <c r="O1315" s="92"/>
      <c r="Q1315" s="93"/>
      <c r="S1315" s="100"/>
      <c r="T1315" s="91"/>
      <c r="U1315" s="101"/>
      <c r="V1315" s="61"/>
      <c r="W1315" s="61"/>
    </row>
    <row r="1316" spans="3:23" x14ac:dyDescent="0.25">
      <c r="C1316" s="125"/>
      <c r="D1316" s="126"/>
      <c r="E1316" s="126"/>
      <c r="F1316" s="126"/>
      <c r="G1316" s="126"/>
      <c r="H1316" s="124"/>
      <c r="I1316" s="124"/>
      <c r="K1316" s="86"/>
      <c r="L1316" s="87"/>
      <c r="O1316" s="92"/>
      <c r="Q1316" s="93"/>
      <c r="S1316" s="100"/>
      <c r="T1316" s="91"/>
      <c r="U1316" s="101"/>
      <c r="V1316" s="61"/>
      <c r="W1316" s="61"/>
    </row>
    <row r="1317" spans="3:23" x14ac:dyDescent="0.25">
      <c r="C1317" s="127"/>
      <c r="D1317" s="128"/>
      <c r="E1317" s="128"/>
      <c r="F1317" s="128"/>
      <c r="G1317" s="128"/>
      <c r="H1317" s="124"/>
      <c r="I1317" s="124"/>
      <c r="K1317" s="86"/>
      <c r="L1317" s="87"/>
      <c r="O1317" s="92"/>
      <c r="Q1317" s="93"/>
      <c r="S1317" s="100"/>
      <c r="T1317" s="91"/>
      <c r="U1317" s="101"/>
      <c r="V1317" s="61"/>
      <c r="W1317" s="61"/>
    </row>
    <row r="1318" spans="3:23" x14ac:dyDescent="0.25">
      <c r="C1318" s="125"/>
      <c r="D1318" s="126"/>
      <c r="E1318" s="126"/>
      <c r="F1318" s="126"/>
      <c r="G1318" s="126"/>
      <c r="H1318" s="124"/>
      <c r="I1318" s="124"/>
      <c r="K1318" s="86"/>
      <c r="L1318" s="87"/>
      <c r="O1318" s="92"/>
      <c r="Q1318" s="93"/>
      <c r="S1318" s="100"/>
      <c r="T1318" s="91"/>
      <c r="U1318" s="101"/>
      <c r="V1318" s="61"/>
      <c r="W1318" s="61"/>
    </row>
    <row r="1319" spans="3:23" x14ac:dyDescent="0.25">
      <c r="C1319" s="127"/>
      <c r="D1319" s="128"/>
      <c r="E1319" s="128"/>
      <c r="F1319" s="128"/>
      <c r="G1319" s="128"/>
      <c r="H1319" s="124"/>
      <c r="I1319" s="124"/>
      <c r="K1319" s="86"/>
      <c r="L1319" s="87"/>
      <c r="O1319" s="92"/>
      <c r="Q1319" s="93"/>
      <c r="S1319" s="100"/>
      <c r="T1319" s="91"/>
      <c r="U1319" s="101"/>
      <c r="V1319" s="61"/>
      <c r="W1319" s="61"/>
    </row>
    <row r="1320" spans="3:23" x14ac:dyDescent="0.25">
      <c r="C1320" s="125"/>
      <c r="D1320" s="126"/>
      <c r="E1320" s="126"/>
      <c r="F1320" s="126"/>
      <c r="G1320" s="126"/>
      <c r="H1320" s="124"/>
      <c r="I1320" s="124"/>
      <c r="K1320" s="86"/>
      <c r="L1320" s="87"/>
      <c r="O1320" s="92"/>
      <c r="Q1320" s="93"/>
      <c r="S1320" s="100"/>
      <c r="T1320" s="91"/>
      <c r="U1320" s="101"/>
      <c r="V1320" s="61"/>
      <c r="W1320" s="61"/>
    </row>
    <row r="1321" spans="3:23" x14ac:dyDescent="0.25">
      <c r="C1321" s="127"/>
      <c r="D1321" s="128"/>
      <c r="E1321" s="128"/>
      <c r="F1321" s="128"/>
      <c r="G1321" s="128"/>
      <c r="H1321" s="124"/>
      <c r="I1321" s="124"/>
      <c r="K1321" s="86"/>
      <c r="L1321" s="87"/>
      <c r="O1321" s="92"/>
      <c r="Q1321" s="93"/>
      <c r="S1321" s="100"/>
      <c r="T1321" s="91"/>
      <c r="U1321" s="101"/>
      <c r="V1321" s="61"/>
      <c r="W1321" s="61"/>
    </row>
    <row r="1322" spans="3:23" x14ac:dyDescent="0.25">
      <c r="C1322" s="125"/>
      <c r="D1322" s="126"/>
      <c r="E1322" s="126"/>
      <c r="F1322" s="126"/>
      <c r="G1322" s="126"/>
      <c r="H1322" s="124"/>
      <c r="I1322" s="124"/>
      <c r="K1322" s="86"/>
      <c r="L1322" s="87"/>
      <c r="O1322" s="92"/>
      <c r="Q1322" s="93"/>
      <c r="S1322" s="100"/>
      <c r="T1322" s="91"/>
      <c r="U1322" s="101"/>
      <c r="V1322" s="61"/>
      <c r="W1322" s="61"/>
    </row>
    <row r="1323" spans="3:23" x14ac:dyDescent="0.25">
      <c r="C1323" s="127"/>
      <c r="D1323" s="128"/>
      <c r="E1323" s="128"/>
      <c r="F1323" s="128"/>
      <c r="G1323" s="128"/>
      <c r="H1323" s="124"/>
      <c r="I1323" s="124"/>
      <c r="K1323" s="86"/>
      <c r="L1323" s="87"/>
      <c r="O1323" s="92"/>
      <c r="Q1323" s="93"/>
      <c r="S1323" s="100"/>
      <c r="T1323" s="91"/>
      <c r="U1323" s="101"/>
      <c r="V1323" s="61"/>
      <c r="W1323" s="61"/>
    </row>
    <row r="1324" spans="3:23" x14ac:dyDescent="0.25">
      <c r="C1324" s="125"/>
      <c r="D1324" s="126"/>
      <c r="E1324" s="126"/>
      <c r="F1324" s="126"/>
      <c r="G1324" s="126"/>
      <c r="H1324" s="124"/>
      <c r="I1324" s="124"/>
      <c r="K1324" s="86"/>
      <c r="L1324" s="87"/>
      <c r="O1324" s="92"/>
      <c r="Q1324" s="93"/>
      <c r="S1324" s="100"/>
      <c r="T1324" s="91"/>
      <c r="U1324" s="101"/>
      <c r="V1324" s="61"/>
      <c r="W1324" s="61"/>
    </row>
    <row r="1325" spans="3:23" x14ac:dyDescent="0.25">
      <c r="C1325" s="127"/>
      <c r="D1325" s="128"/>
      <c r="E1325" s="128"/>
      <c r="F1325" s="128"/>
      <c r="G1325" s="128"/>
      <c r="H1325" s="124"/>
      <c r="I1325" s="124"/>
      <c r="K1325" s="86"/>
      <c r="L1325" s="87"/>
      <c r="O1325" s="92"/>
      <c r="Q1325" s="93"/>
      <c r="S1325" s="100"/>
      <c r="T1325" s="91"/>
      <c r="U1325" s="101"/>
      <c r="V1325" s="61"/>
      <c r="W1325" s="61"/>
    </row>
    <row r="1326" spans="3:23" x14ac:dyDescent="0.25">
      <c r="C1326" s="125"/>
      <c r="D1326" s="126"/>
      <c r="E1326" s="126"/>
      <c r="F1326" s="126"/>
      <c r="G1326" s="126"/>
      <c r="H1326" s="124"/>
      <c r="I1326" s="124"/>
      <c r="K1326" s="86"/>
      <c r="L1326" s="87"/>
      <c r="O1326" s="92"/>
      <c r="Q1326" s="93"/>
      <c r="S1326" s="100"/>
      <c r="T1326" s="91"/>
      <c r="U1326" s="101"/>
      <c r="V1326" s="61"/>
      <c r="W1326" s="61"/>
    </row>
    <row r="1327" spans="3:23" x14ac:dyDescent="0.25">
      <c r="C1327" s="127"/>
      <c r="D1327" s="128"/>
      <c r="E1327" s="128"/>
      <c r="F1327" s="128"/>
      <c r="G1327" s="128"/>
      <c r="H1327" s="124"/>
      <c r="I1327" s="124"/>
      <c r="K1327" s="86"/>
      <c r="L1327" s="87"/>
      <c r="O1327" s="92"/>
      <c r="Q1327" s="93"/>
      <c r="S1327" s="100"/>
      <c r="T1327" s="91"/>
      <c r="U1327" s="101"/>
      <c r="V1327" s="61"/>
      <c r="W1327" s="61"/>
    </row>
    <row r="1328" spans="3:23" x14ac:dyDescent="0.25">
      <c r="C1328" s="125"/>
      <c r="D1328" s="126"/>
      <c r="E1328" s="126"/>
      <c r="F1328" s="126"/>
      <c r="G1328" s="126"/>
      <c r="H1328" s="124"/>
      <c r="I1328" s="124"/>
      <c r="K1328" s="86"/>
      <c r="L1328" s="87"/>
      <c r="O1328" s="92"/>
      <c r="Q1328" s="93"/>
      <c r="S1328" s="100"/>
      <c r="T1328" s="91"/>
      <c r="U1328" s="101"/>
      <c r="V1328" s="61"/>
      <c r="W1328" s="61"/>
    </row>
    <row r="1329" spans="3:23" x14ac:dyDescent="0.25">
      <c r="C1329" s="127"/>
      <c r="D1329" s="128"/>
      <c r="E1329" s="128"/>
      <c r="F1329" s="128"/>
      <c r="G1329" s="128"/>
      <c r="H1329" s="124"/>
      <c r="I1329" s="124"/>
      <c r="K1329" s="86"/>
      <c r="L1329" s="87"/>
      <c r="O1329" s="92"/>
      <c r="Q1329" s="93"/>
      <c r="S1329" s="100"/>
      <c r="T1329" s="91"/>
      <c r="U1329" s="101"/>
      <c r="V1329" s="61"/>
      <c r="W1329" s="61"/>
    </row>
    <row r="1330" spans="3:23" x14ac:dyDescent="0.25">
      <c r="C1330" s="125"/>
      <c r="D1330" s="126"/>
      <c r="E1330" s="126"/>
      <c r="F1330" s="126"/>
      <c r="G1330" s="126"/>
      <c r="H1330" s="124"/>
      <c r="I1330" s="124"/>
      <c r="K1330" s="86"/>
      <c r="L1330" s="87"/>
      <c r="O1330" s="92"/>
      <c r="Q1330" s="93"/>
      <c r="S1330" s="100"/>
      <c r="T1330" s="91"/>
      <c r="U1330" s="101"/>
      <c r="V1330" s="61"/>
      <c r="W1330" s="61"/>
    </row>
    <row r="1331" spans="3:23" x14ac:dyDescent="0.25">
      <c r="C1331" s="127"/>
      <c r="D1331" s="128"/>
      <c r="E1331" s="128"/>
      <c r="F1331" s="128"/>
      <c r="G1331" s="128"/>
      <c r="H1331" s="124"/>
      <c r="I1331" s="124"/>
      <c r="K1331" s="86"/>
      <c r="L1331" s="87"/>
      <c r="O1331" s="92"/>
      <c r="Q1331" s="93"/>
      <c r="S1331" s="100"/>
      <c r="T1331" s="91"/>
      <c r="U1331" s="101"/>
      <c r="V1331" s="61"/>
      <c r="W1331" s="61"/>
    </row>
    <row r="1332" spans="3:23" x14ac:dyDescent="0.25">
      <c r="C1332" s="125"/>
      <c r="D1332" s="126"/>
      <c r="E1332" s="126"/>
      <c r="F1332" s="126"/>
      <c r="G1332" s="126"/>
      <c r="H1332" s="124"/>
      <c r="I1332" s="124"/>
      <c r="K1332" s="86"/>
      <c r="L1332" s="87"/>
      <c r="O1332" s="92"/>
      <c r="Q1332" s="93"/>
      <c r="S1332" s="100"/>
      <c r="T1332" s="91"/>
      <c r="U1332" s="101"/>
      <c r="V1332" s="61"/>
      <c r="W1332" s="61"/>
    </row>
    <row r="1333" spans="3:23" x14ac:dyDescent="0.25">
      <c r="C1333" s="127"/>
      <c r="D1333" s="128"/>
      <c r="E1333" s="128"/>
      <c r="F1333" s="128"/>
      <c r="G1333" s="128"/>
      <c r="H1333" s="124"/>
      <c r="I1333" s="124"/>
      <c r="K1333" s="86"/>
      <c r="L1333" s="87"/>
      <c r="O1333" s="92"/>
      <c r="Q1333" s="93"/>
      <c r="S1333" s="100"/>
      <c r="T1333" s="91"/>
      <c r="U1333" s="101"/>
      <c r="V1333" s="61"/>
      <c r="W1333" s="61"/>
    </row>
    <row r="1334" spans="3:23" x14ac:dyDescent="0.25">
      <c r="C1334" s="125"/>
      <c r="D1334" s="126"/>
      <c r="E1334" s="126"/>
      <c r="F1334" s="126"/>
      <c r="G1334" s="126"/>
      <c r="H1334" s="124"/>
      <c r="I1334" s="124"/>
      <c r="K1334" s="86"/>
      <c r="L1334" s="87"/>
      <c r="O1334" s="92"/>
      <c r="Q1334" s="93"/>
      <c r="S1334" s="100"/>
      <c r="T1334" s="91"/>
      <c r="U1334" s="101"/>
      <c r="V1334" s="61"/>
      <c r="W1334" s="61"/>
    </row>
    <row r="1335" spans="3:23" x14ac:dyDescent="0.25">
      <c r="C1335" s="127"/>
      <c r="D1335" s="128"/>
      <c r="E1335" s="128"/>
      <c r="F1335" s="128"/>
      <c r="G1335" s="128"/>
      <c r="H1335" s="124"/>
      <c r="I1335" s="124"/>
      <c r="K1335" s="86"/>
      <c r="L1335" s="87"/>
      <c r="O1335" s="92"/>
      <c r="Q1335" s="93"/>
      <c r="S1335" s="100"/>
      <c r="T1335" s="91"/>
      <c r="U1335" s="101"/>
      <c r="V1335" s="61"/>
      <c r="W1335" s="61"/>
    </row>
    <row r="1336" spans="3:23" x14ac:dyDescent="0.25">
      <c r="C1336" s="125"/>
      <c r="D1336" s="126"/>
      <c r="E1336" s="126"/>
      <c r="F1336" s="126"/>
      <c r="G1336" s="126"/>
      <c r="H1336" s="124"/>
      <c r="I1336" s="124"/>
      <c r="K1336" s="86"/>
      <c r="L1336" s="87"/>
      <c r="O1336" s="92"/>
      <c r="Q1336" s="93"/>
      <c r="S1336" s="100"/>
      <c r="T1336" s="91"/>
      <c r="U1336" s="101"/>
      <c r="V1336" s="61"/>
      <c r="W1336" s="61"/>
    </row>
    <row r="1337" spans="3:23" x14ac:dyDescent="0.25">
      <c r="C1337" s="127"/>
      <c r="D1337" s="128"/>
      <c r="E1337" s="128"/>
      <c r="F1337" s="128"/>
      <c r="G1337" s="128"/>
      <c r="H1337" s="124"/>
      <c r="I1337" s="124"/>
      <c r="K1337" s="86"/>
      <c r="L1337" s="87"/>
      <c r="O1337" s="92"/>
      <c r="Q1337" s="93"/>
      <c r="S1337" s="100"/>
      <c r="T1337" s="91"/>
      <c r="U1337" s="101"/>
      <c r="V1337" s="61"/>
      <c r="W1337" s="61"/>
    </row>
    <row r="1338" spans="3:23" x14ac:dyDescent="0.25">
      <c r="C1338" s="125"/>
      <c r="D1338" s="126"/>
      <c r="E1338" s="126"/>
      <c r="F1338" s="126"/>
      <c r="G1338" s="126"/>
      <c r="H1338" s="124"/>
      <c r="I1338" s="124"/>
      <c r="K1338" s="86"/>
      <c r="L1338" s="87"/>
      <c r="O1338" s="92"/>
      <c r="Q1338" s="93"/>
      <c r="S1338" s="100"/>
      <c r="T1338" s="91"/>
      <c r="U1338" s="101"/>
      <c r="V1338" s="61"/>
      <c r="W1338" s="61"/>
    </row>
    <row r="1339" spans="3:23" x14ac:dyDescent="0.25">
      <c r="C1339" s="127"/>
      <c r="D1339" s="128"/>
      <c r="E1339" s="128"/>
      <c r="F1339" s="128"/>
      <c r="G1339" s="128"/>
      <c r="H1339" s="124"/>
      <c r="I1339" s="124"/>
      <c r="K1339" s="86"/>
      <c r="L1339" s="87"/>
      <c r="O1339" s="92"/>
      <c r="Q1339" s="93"/>
      <c r="S1339" s="100"/>
      <c r="T1339" s="91"/>
      <c r="U1339" s="101"/>
      <c r="V1339" s="61"/>
      <c r="W1339" s="61"/>
    </row>
    <row r="1340" spans="3:23" x14ac:dyDescent="0.25">
      <c r="C1340" s="125"/>
      <c r="D1340" s="126"/>
      <c r="E1340" s="126"/>
      <c r="F1340" s="126"/>
      <c r="G1340" s="126"/>
      <c r="H1340" s="124"/>
      <c r="I1340" s="124"/>
      <c r="K1340" s="86"/>
      <c r="L1340" s="87"/>
      <c r="O1340" s="92"/>
      <c r="Q1340" s="93"/>
      <c r="S1340" s="100"/>
      <c r="T1340" s="91"/>
      <c r="U1340" s="101"/>
      <c r="V1340" s="61"/>
      <c r="W1340" s="61"/>
    </row>
    <row r="1341" spans="3:23" x14ac:dyDescent="0.25">
      <c r="C1341" s="127"/>
      <c r="D1341" s="128"/>
      <c r="E1341" s="128"/>
      <c r="F1341" s="128"/>
      <c r="G1341" s="128"/>
      <c r="H1341" s="124"/>
      <c r="I1341" s="124"/>
      <c r="K1341" s="86"/>
      <c r="L1341" s="87"/>
      <c r="O1341" s="92"/>
      <c r="Q1341" s="93"/>
      <c r="S1341" s="100"/>
      <c r="T1341" s="91"/>
      <c r="U1341" s="101"/>
      <c r="V1341" s="61"/>
      <c r="W1341" s="61"/>
    </row>
    <row r="1342" spans="3:23" x14ac:dyDescent="0.25">
      <c r="C1342" s="125"/>
      <c r="D1342" s="126"/>
      <c r="E1342" s="126"/>
      <c r="F1342" s="126"/>
      <c r="G1342" s="126"/>
      <c r="H1342" s="124"/>
      <c r="I1342" s="124"/>
      <c r="K1342" s="86"/>
      <c r="L1342" s="87"/>
      <c r="O1342" s="92"/>
      <c r="Q1342" s="93"/>
      <c r="S1342" s="100"/>
      <c r="T1342" s="91"/>
      <c r="U1342" s="101"/>
      <c r="V1342" s="61"/>
      <c r="W1342" s="61"/>
    </row>
    <row r="1343" spans="3:23" x14ac:dyDescent="0.25">
      <c r="C1343" s="127"/>
      <c r="D1343" s="128"/>
      <c r="E1343" s="128"/>
      <c r="F1343" s="128"/>
      <c r="G1343" s="128"/>
      <c r="H1343" s="124"/>
      <c r="I1343" s="124"/>
      <c r="K1343" s="86"/>
      <c r="L1343" s="87"/>
      <c r="O1343" s="92"/>
      <c r="Q1343" s="93"/>
      <c r="S1343" s="100"/>
      <c r="T1343" s="91"/>
      <c r="U1343" s="101"/>
      <c r="V1343" s="61"/>
      <c r="W1343" s="61"/>
    </row>
  </sheetData>
  <pageMargins left="0.75" right="0.75" top="1" bottom="1" header="0.5" footer="0.5"/>
  <pageSetup orientation="portrait" horizontalDpi="200" verticalDpi="200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Button 1">
              <controlPr defaultSize="0" print="0" autoFill="0" autoLine="0" autoPict="0" macro="[0]!GetData">
                <anchor moveWithCells="1" sizeWithCells="1">
                  <from>
                    <xdr:col>2</xdr:col>
                    <xdr:colOff>38100</xdr:colOff>
                    <xdr:row>0</xdr:row>
                    <xdr:rowOff>165100</xdr:rowOff>
                  </from>
                  <to>
                    <xdr:col>2</xdr:col>
                    <xdr:colOff>831850</xdr:colOff>
                    <xdr:row>3</xdr:row>
                    <xdr:rowOff>114300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13</vt:i4>
      </vt:variant>
    </vt:vector>
  </HeadingPairs>
  <TitlesOfParts>
    <vt:vector size="14" baseType="lpstr">
      <vt:lpstr>AIM</vt:lpstr>
      <vt:lpstr>a</vt:lpstr>
      <vt:lpstr>b</vt:lpstr>
      <vt:lpstr>Int</vt:lpstr>
      <vt:lpstr>Max</vt:lpstr>
      <vt:lpstr>MDT</vt:lpstr>
      <vt:lpstr>Min</vt:lpstr>
      <vt:lpstr>Mth</vt:lpstr>
      <vt:lpstr>PC</vt:lpstr>
      <vt:lpstr>Price</vt:lpstr>
      <vt:lpstr>SV</vt:lpstr>
      <vt:lpstr>Units</vt:lpstr>
      <vt:lpstr>X</vt:lpstr>
      <vt:lpstr>Y</vt:lpstr>
    </vt:vector>
  </TitlesOfParts>
  <Company>&lt;retired&gt;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Wealthy Boomer Discussion Forums</dc:title>
  <dc:creator>Peter Ponzo</dc:creator>
  <cp:lastModifiedBy>Mike Wenger</cp:lastModifiedBy>
  <dcterms:created xsi:type="dcterms:W3CDTF">2002-01-04T15:18:09Z</dcterms:created>
  <dcterms:modified xsi:type="dcterms:W3CDTF">2026-06-20T13:45:13Z</dcterms:modified>
</cp:coreProperties>
</file>